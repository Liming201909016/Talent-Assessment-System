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1\2026年项目资料\2-测评工具\6-胜任力测验\260915基层胜任力测评优化\260915胜任力开发-发工程师\"/>
    </mc:Choice>
  </mc:AlternateContent>
  <bookViews>
    <workbookView windowWidth="27945" windowHeight="12255" activeTab="3"/>
  </bookViews>
  <sheets>
    <sheet name="题本" sheetId="1" r:id="rId1"/>
    <sheet name="等级评价" sheetId="2" r:id="rId2"/>
    <sheet name="三类模块评价" sheetId="3" r:id="rId3"/>
    <sheet name="总体评价" sheetId="4" r:id="rId4"/>
    <sheet name="图表"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<sst xmlns="http://schemas.openxmlformats.org/spreadsheetml/2006/main" count="566" uniqueCount="398">
  <si>
    <t>基层员工胜任力测评题本</t>
  </si>
  <si>
    <t>层级</t>
  </si>
  <si>
    <t>维度/
伪装维度</t>
  </si>
  <si>
    <t>题号</t>
  </si>
  <si>
    <t>题目</t>
  </si>
  <si>
    <t>选项</t>
  </si>
  <si>
    <t>考察点</t>
  </si>
  <si>
    <t>题目类型</t>
  </si>
  <si>
    <t>完全不符合</t>
  </si>
  <si>
    <t>比较不符合</t>
  </si>
  <si>
    <t>不确定</t>
  </si>
  <si>
    <t>比较符合</t>
  </si>
  <si>
    <t>完全符合</t>
  </si>
  <si>
    <t>任务管理类</t>
  </si>
  <si>
    <t>A1-01
逻辑思维</t>
  </si>
  <si>
    <t>面对复杂事项，我习惯将其拆解为若干独立部分分别处理。</t>
  </si>
  <si>
    <t>分解能力</t>
  </si>
  <si>
    <t>维度题</t>
  </si>
  <si>
    <t>出现偏差时，我会追溯整个流程以定位根本原因。</t>
  </si>
  <si>
    <t>归因分析</t>
  </si>
  <si>
    <t>我能清晰区分他人表述中的客观事实与主观判断。</t>
  </si>
  <si>
    <t>事实与观点分离</t>
  </si>
  <si>
    <t>安排工作顺序时，我能注重先后环节之间的内在逻辑。</t>
  </si>
  <si>
    <t>顺序合理性</t>
  </si>
  <si>
    <t>面对不同信息源，我会比较其可靠性后再采用。</t>
  </si>
  <si>
    <t>信息甄别</t>
  </si>
  <si>
    <t>做决定前，我会推演不同选择可能引发的后续变化。</t>
  </si>
  <si>
    <t>因果预判</t>
  </si>
  <si>
    <t>总结汇报时，我习惯按时间线罗列事件。</t>
  </si>
  <si>
    <t>归纳提炼</t>
  </si>
  <si>
    <t>反向</t>
  </si>
  <si>
    <t>我通常凭感觉就可以判断事件的问题所在。</t>
  </si>
  <si>
    <t>结构化验证</t>
  </si>
  <si>
    <t>A1-02
计划执行</t>
  </si>
  <si>
    <t>我从来不做没有计划的事情。</t>
  </si>
  <si>
    <t>规划意识</t>
  </si>
  <si>
    <t>一般情况下，我不允许工作计划出现任何偏差，必须按计划执行。</t>
  </si>
  <si>
    <t>执行标准</t>
  </si>
  <si>
    <t>我会将各项工作任务按照优先级和预计时长安排到每日计划中。</t>
  </si>
  <si>
    <t>计划制定</t>
  </si>
  <si>
    <t>对于耗时较长的任务，我会设定中间节点并对照进度。</t>
  </si>
  <si>
    <t>过程监控</t>
  </si>
  <si>
    <t>新任务出现，我会重新调整原有安排以适应变化。</t>
  </si>
  <si>
    <t>灵活调整</t>
  </si>
  <si>
    <t>我会复盘每项完成的工作。</t>
  </si>
  <si>
    <t>复盘改进</t>
  </si>
  <si>
    <t>我通常优先做容易的事，把困难的留到后面。</t>
  </si>
  <si>
    <t>优先级合理</t>
  </si>
  <si>
    <t>制定时间表时，我喜欢安排得满满当当，不留空余。</t>
  </si>
  <si>
    <t>风险预留意识</t>
  </si>
  <si>
    <t>A1-03
数字应用</t>
  </si>
  <si>
    <t>我已经可以熟练使用多种AI工具辅助完成工作。</t>
  </si>
  <si>
    <t>AI工具运用</t>
  </si>
  <si>
    <t>使用工具生成结果前，我会核实其底层逻辑的准确性。</t>
  </si>
  <si>
    <t>工具验证</t>
  </si>
  <si>
    <t>我习惯于用电子方式存储和整理工作记录，便于检索。</t>
  </si>
  <si>
    <t>数字记录</t>
  </si>
  <si>
    <t>遇到不熟悉的数字工具或软件时，我能通过查阅帮助文档或在线资源自行解决。</t>
  </si>
  <si>
    <t>自主排错</t>
  </si>
  <si>
    <t>我经常使用图表和分析工具让数据变得更直观易懂。</t>
  </si>
  <si>
    <t>图表展示</t>
  </si>
  <si>
    <t>我已经可以从海量数据中挖掘出有价值的信息。</t>
  </si>
  <si>
    <t>数据挖掘</t>
  </si>
  <si>
    <t>工作中AI辅助工具多种多样，我目前使用的还比较少。</t>
  </si>
  <si>
    <t>工具偏好</t>
  </si>
  <si>
    <t>面对复杂的数据表格，我往往感到难以应对。</t>
  </si>
  <si>
    <t>数据态度</t>
  </si>
  <si>
    <t>A1-04
成就导向</t>
  </si>
  <si>
    <t>如果有人同我竞争，我会干得特别有劲。</t>
  </si>
  <si>
    <t>竞争激发</t>
  </si>
  <si>
    <t>只要能够成功，我愿意付出任何代价。</t>
  </si>
  <si>
    <t>代价承受</t>
  </si>
  <si>
    <t>我有一个在别人看来是高不可攀的目标，并时刻为之奋斗。</t>
  </si>
  <si>
    <t>挑战目标</t>
  </si>
  <si>
    <t>别人越是说我不行，我越是要干。</t>
  </si>
  <si>
    <t>逆境证明</t>
  </si>
  <si>
    <t>我一定要做到工作成绩比别人突出。</t>
  </si>
  <si>
    <t>超越他人</t>
  </si>
  <si>
    <t>困难越大，我的信心越强。</t>
  </si>
  <si>
    <t>迎难而上</t>
  </si>
  <si>
    <t>我一定要在工作中取得突出的成绩，这是人生价值的体现。</t>
  </si>
  <si>
    <t>价值实现</t>
  </si>
  <si>
    <t>我认为，只要努力，没有做过的工作我也能够做好。</t>
  </si>
  <si>
    <t>自我效能</t>
  </si>
  <si>
    <t>A1-05
持续学习</t>
  </si>
  <si>
    <t>我经常主动寻找与工作相关的新知识、新技能来学习。</t>
  </si>
  <si>
    <t>主动获取信息</t>
  </si>
  <si>
    <t>掌握新技能后，我会整理成要点记录以备后续回顾。</t>
  </si>
  <si>
    <t>知识固化</t>
  </si>
  <si>
    <t>学到的内容，我会主动思考如何在当前工作中运用。</t>
  </si>
  <si>
    <t>学用结合</t>
  </si>
  <si>
    <t>我经常向有经验的同事请教，以纠正自己的认知盲区。</t>
  </si>
  <si>
    <t>求助与反馈</t>
  </si>
  <si>
    <t>每当遇到不懂的问题，我一定要把它弄明白才肯罢休。</t>
  </si>
  <si>
    <t>探究精神</t>
  </si>
  <si>
    <t>我会利用零散时间观看教学短片或阅读简短资料来补充知识。</t>
  </si>
  <si>
    <t>碎片化学习</t>
  </si>
  <si>
    <t>我觉得现有知识足够应付日常，没必要额外花时间学习。</t>
  </si>
  <si>
    <t>学习动力</t>
  </si>
  <si>
    <t>集体学习活动中，我倾向倾听，不主动分享个人见解。</t>
  </si>
  <si>
    <t>分享意愿</t>
  </si>
  <si>
    <t>人际管理类</t>
  </si>
  <si>
    <t>B1-01
沟通表达</t>
  </si>
  <si>
    <t>我能用“结论先行+证据支撑”的结构，在3分钟内完成一次完整的工作进展汇报。</t>
  </si>
  <si>
    <t>汇报清晰</t>
  </si>
  <si>
    <t>接到任务后，我习惯用“我这样理解对不对……”句式复述要求，并让对方纠正。</t>
  </si>
  <si>
    <t>澄清确认</t>
  </si>
  <si>
    <t>书面材料中，我会将关键请求单独标注，便于对方识别。</t>
  </si>
  <si>
    <t>书面突出重点</t>
  </si>
  <si>
    <t>口头交流时，我会留意对方的反应，并及时调整表达方式。</t>
  </si>
  <si>
    <t>互动调节</t>
  </si>
  <si>
    <t>使用即时通讯时，我会先交代背景再提出具体问题。</t>
  </si>
  <si>
    <t>线上表达清晰</t>
  </si>
  <si>
    <t>传达完信息后，我会请对方说出接下来要做的第一步行动，以此验证他真听懂了。</t>
  </si>
  <si>
    <t>理解验证</t>
  </si>
  <si>
    <t>我习惯连续说完所有内容，较少中途停顿询问对方理解情况。</t>
  </si>
  <si>
    <t>沟通互动性</t>
  </si>
  <si>
    <t>在多人交叉讨论中，我有时记不全所有人的关键信息。</t>
  </si>
  <si>
    <t>信息接收准确性</t>
  </si>
  <si>
    <t>B1-02
合作意识</t>
  </si>
  <si>
    <t>同事忙时，我愿意主动分担其部分职责。</t>
  </si>
  <si>
    <t>补位意识</t>
  </si>
  <si>
    <t>集体讨论中，我会提出不同的方案供大家权衡。</t>
  </si>
  <si>
    <t>建设性分歧</t>
  </si>
  <si>
    <t>团队共享重要信息时，我会确保每位成员都已收到并理解。</t>
  </si>
  <si>
    <t>信息共享</t>
  </si>
  <si>
    <t>跨部门合作时，我会定期向合作部门同步我部门进度。</t>
  </si>
  <si>
    <t>跨部门信息同步</t>
  </si>
  <si>
    <t>团队分工时，我会根据各人特长和当前工作量提出合理建议。</t>
  </si>
  <si>
    <t>分工意识</t>
  </si>
  <si>
    <t>当个人想法与团队决定不一致时，我会先服从团队整体安排。</t>
  </si>
  <si>
    <t>集体优先</t>
  </si>
  <si>
    <t>为避免争执，我通常不在公开场合反对他人提议。</t>
  </si>
  <si>
    <t>意见表达勇气</t>
  </si>
  <si>
    <t>我对同事的工作不感兴趣，只想专心做好本职工作。</t>
  </si>
  <si>
    <t>团队关注</t>
  </si>
  <si>
    <t>自我管理类</t>
  </si>
  <si>
    <t>C1-01
求真务实</t>
  </si>
  <si>
    <t>制定方案前，我先评估现有资源是否充足。</t>
  </si>
  <si>
    <t>可行性评估</t>
  </si>
  <si>
    <t>凡事我都能做到实事求是。</t>
  </si>
  <si>
    <t>现实检验</t>
  </si>
  <si>
    <t>汇报时，我如实反映未达标部分并提出补救办法。</t>
  </si>
  <si>
    <t>客观呈报</t>
  </si>
  <si>
    <t>我总能将长远目标转化为近期可操作的具体步骤。</t>
  </si>
  <si>
    <t>目标落地</t>
  </si>
  <si>
    <t>即使需要承担严重后果，我也会如实汇报工作。</t>
  </si>
  <si>
    <t>坦诚反馈</t>
  </si>
  <si>
    <t>我能将工作做成标杆。</t>
  </si>
  <si>
    <t>成果标杆</t>
  </si>
  <si>
    <t>工作汇报时应该好的多说一些，坏的尽量不说。</t>
  </si>
  <si>
    <t>客观呈现</t>
  </si>
  <si>
    <t>面对难题，我先构想理想方案，再回头审视现实条件。</t>
  </si>
  <si>
    <t>理想与现实的顺序</t>
  </si>
  <si>
    <t>C1-02
自律性</t>
  </si>
  <si>
    <t>工作中我总能从容不迫。</t>
  </si>
  <si>
    <t>行为节制</t>
  </si>
  <si>
    <t>在需要当机立断时，我总能镇静地利用理智。</t>
  </si>
  <si>
    <t>情绪与行为控制</t>
  </si>
  <si>
    <t>在人声嘈杂中，我仍然能不受干扰，专心工作。</t>
  </si>
  <si>
    <t>专注与抗干扰</t>
  </si>
  <si>
    <t>尽管有的同事和我意见不合，但我仍能跟他团结共事。</t>
  </si>
  <si>
    <t>人际克制</t>
  </si>
  <si>
    <t>我在工作和学习上，总是设法使自己不粗心大意、忽略细节。</t>
  </si>
  <si>
    <t>严谨细致</t>
  </si>
  <si>
    <t>在参加讨论时，我总是能把握住自己的立场。</t>
  </si>
  <si>
    <t>立场坚定</t>
  </si>
  <si>
    <t>我宁愿选择一个工资较高的工作，不在乎是否有保障，不愿做工资低的固定工作。</t>
  </si>
  <si>
    <t>冲动与务实</t>
  </si>
  <si>
    <t>我常常会无端地自言自语。</t>
  </si>
  <si>
    <t>自我控制</t>
  </si>
  <si>
    <t>C1-03
敬业奉献</t>
  </si>
  <si>
    <t>我会认真对待每一项分内分外的任务。</t>
  </si>
  <si>
    <t>认真负责</t>
  </si>
  <si>
    <t>发现工作出现问题时，我会主动提出改进方案并推动落实。</t>
  </si>
  <si>
    <t>主动担责</t>
  </si>
  <si>
    <t>对待工作我始终保持尽心尽责的态度。</t>
  </si>
  <si>
    <t>责任认同</t>
  </si>
  <si>
    <t>日常工作中，我始终保持着全身心投入状态。</t>
  </si>
  <si>
    <t>投入状态</t>
  </si>
  <si>
    <t>紧急任务来临时，我愿意主动加班配合。</t>
  </si>
  <si>
    <t>奉献精神</t>
  </si>
  <si>
    <t>即使是单调重复的工作，我仍能认真对待每个细节。</t>
  </si>
  <si>
    <t>持续专注</t>
  </si>
  <si>
    <t>我认为工作做到基本达标就行。</t>
  </si>
  <si>
    <t>高标准要求</t>
  </si>
  <si>
    <t>下班时间一到就可以停止工作，未完成部分上班了再接着做。</t>
  </si>
  <si>
    <t>工作投入</t>
  </si>
  <si>
    <t>效度量表</t>
  </si>
  <si>
    <t>无论信息多复杂，我都能一次性记住全部细节并理清逻辑。</t>
  </si>
  <si>
    <t>粗心/脱离现实（正常人无法一遍记住所有细节）</t>
  </si>
  <si>
    <t>我制定的每一个计划都分秒不差地得到了完美执行。</t>
  </si>
  <si>
    <t>粗心/极端偏差（现实中不可能“每一个”都完美）</t>
  </si>
  <si>
    <t>我用过的每款新工具，从未出现过任何操作失误或理解偏差。</t>
  </si>
  <si>
    <t>极端美化（任何人使用新工具都有摸索期）</t>
  </si>
  <si>
    <t>我过去设定的所有工作目标，最终完成度都达到了120%以上。</t>
  </si>
  <si>
    <t>粗心/极端偏差（不可能“所有”目标都超额完成）</t>
  </si>
  <si>
    <t>任何新技能，我只需要观看一次演示就能完全掌握。</t>
  </si>
  <si>
    <t>粗心/脱离现实（违反基本学习规律）</t>
  </si>
  <si>
    <t>在我的沟通经历中，从未出现过一次信息被对方误解。</t>
  </si>
  <si>
    <t>极端美化（沟通不可能永远零误解）</t>
  </si>
  <si>
    <t>在团队讨论中，我提出的建议从未被团队成员提出过修改意见。</t>
  </si>
  <si>
    <t>粗心/脱离现实（团队中不可能没人提过修改意见）</t>
  </si>
  <si>
    <t>我经手核对的所有数据与信息，都从未出现过任何偏差或遗漏。</t>
  </si>
  <si>
    <t>极端美化（人工处理数据不可能零失误）</t>
  </si>
  <si>
    <t>无论外部环境如何变化，我的情绪都始终保持完全平稳。</t>
  </si>
  <si>
    <t>粗心/脱离现实（正常人都会有情绪波动）</t>
  </si>
  <si>
    <t>即使在连续高强度工作后，我也从未出现过注意力分散或效率下降。</t>
  </si>
  <si>
    <t>极端美化（违反人体生理规律）</t>
  </si>
  <si>
    <t>提示：当所有维度得分结果为良好或优秀时，不列待发展项；当其他都是良好或优秀，少于两个待发展项时，只列一个待发展项。当维度得分没有良好或优秀时，不列优势项；少于三个良好或优秀时，就放2个或1个。</t>
  </si>
  <si>
    <t>基层员工胜任力测评维度评价</t>
  </si>
  <si>
    <t>序号</t>
  </si>
  <si>
    <t>维度名称</t>
  </si>
  <si>
    <t>核心含义</t>
  </si>
  <si>
    <t>定义</t>
  </si>
  <si>
    <t>等级评价</t>
  </si>
  <si>
    <t>表现评估L1—不足</t>
  </si>
  <si>
    <t>对应等级的综合表现评估（待发展项）</t>
  </si>
  <si>
    <t>表现评估L2—欠佳</t>
  </si>
  <si>
    <t>表现评估L3—合格</t>
  </si>
  <si>
    <t>表现评估L4—良好</t>
  </si>
  <si>
    <t>对应等级的综合表现评估（优势项）</t>
  </si>
  <si>
    <t>表现评估L5—优秀</t>
  </si>
  <si>
    <t>逻辑分析严谨，推理判断有据</t>
  </si>
  <si>
    <t>运用归纳、演绎等逻辑方法分析问题，能对信息进行分类整合和概念辨析，推理过程条理清晰、环环相扣，能构建有充分依据的判断和结论。</t>
  </si>
  <si>
    <t>面对问题难以进行有条理的分析，思考缺乏逻辑、抓不住要点，判断经常出现明显错误，需要他人一步步引导才能完成基本任务。建议受测者优先参加基础性的逻辑思维入门培训，从“区分事实与观点”“按步骤完成简单判断”等最基础练习做起，每周固定复盘一次思考过程，逐步补齐最基本的分析能力。</t>
  </si>
  <si>
    <t>难以进行有条理的分析，思考缺乏逻辑、抓不住要点，判断常出明显错误，需他人引导。</t>
  </si>
  <si>
    <t>面对简单问题时基本能按逻辑展开思考，但分析层次较浅，归纳和演绎用得不够熟练，分类、归因、概念辨析的准确性也不够高，推理的条理性有待提升。建议受测者在日常工作中多练习“先分类、再归因”的处理方式，遇到问题时先把所有相关事项罗列出来，再逐条分析因果关系。重点是把思考过程外化、可视化，以便后续审视和修正。</t>
  </si>
  <si>
    <t>面对简单问题基本能按逻辑思考，但分析层次较浅，归纳演绎不熟练，推理条理性待提升。</t>
  </si>
  <si>
    <t>面对常规问题时能做出合理判断，分析推理有一定条理，但面对复杂信息时容易陷进细节，梳理速度偏慢。建议受测者遇到复杂信息时，先画简单的逻辑草图，把各个因素之间的关系标出来，再逐一核实。同时多参与团队的问题分析讨论，通过对比他人的推理过程来修正自己的思维盲区。</t>
  </si>
  <si>
    <t>面对常规问题能做出合理判断、推理有一定条理，但遇复杂信息易陷细节、梳理偏慢。</t>
  </si>
  <si>
    <t>面对问题时，能按逻辑框架分析，可以理清主要的因果关系，判断和推理有基本依据。但在信息高度模糊或时间紧迫时，推理链条有时会不够完整。建议受测者在完成分析后，主动检查推理链条中的薄弱环节，尤其是那些“凭感觉”作出的判断，尝试找到对应的依据来支撑。逐步提升自己在不确定情境下保持逻辑严谨的能力。</t>
  </si>
  <si>
    <t>能按逻辑框架分析问题，理清主要因果关系，判断与推理有基本依据。</t>
  </si>
  <si>
    <t>善于从杂乱信息中提取关键要素，构建层层递进、环环相扣的推理链条，每一步判断都有据可依。建议受测者在讨论中主动分享自己的分析框架，通过向他人解释来进一步检验和优化自己的逻辑。同时可以尝试接手更复杂的、需要多维度交叉分析的任务，持续拓宽思维的深度和广度。</t>
  </si>
  <si>
    <t>善于从杂乱信息提取关键要素，构建层层递进的推理链条，每步判断都有据可依。</t>
  </si>
  <si>
    <t>高效推进计划并达成预期结果</t>
  </si>
  <si>
    <t>接到任务后迅速响应、立即行动，紧盯时间节点，在保证质量的前提下追求效率，确保按时交付成果。</t>
  </si>
  <si>
    <t>无法按计划开展工作，经常忘记任务或延期，需要反复催促和全程监督才能完成最基础的工作。建议受测者先从“日事日清”做起，每天上班后列出当天最重要的两件任务，完成一件当场记录一件；建议配备工作台账和提醒工具，重要节点由专人核查提醒，先依靠外部机制保障基本执行，再逐步培养自主安排能力。</t>
  </si>
  <si>
    <t>无法按计划开展工作，常忘任务或延期，需反复催促和全程监督才能完成基础工作。</t>
  </si>
  <si>
    <t>基本能按要求开始行动，但时间管理不够严格，执行中有时会分心，部分任务需要反复提醒才能完成。建议受测者每天上班时列出任务清单，完成后逐项打勾，建立基本的执行节奏。同时可设定简单的时间提醒，帮助自己建立对时间节点的感知。</t>
  </si>
  <si>
    <t>基本能按要求行动，但时间管理不严格，执行易分心，部分任务需反复提醒。</t>
  </si>
  <si>
    <t>能按时启动任务并跟进，时间节点意识较好，能按计划推进工作，但在任务并行或难度较大时偶有效率波动。建议受测者在接到任务时先把工作拆成几个阶段，为每个阶段设置一个完成时间，并预留缓冲时间。每完成一个阶段就进行进度核查，提前识别延期风险。</t>
  </si>
  <si>
    <t>能按时启动并跟进任务，时间节点意识较好，但并行或难度较大时偶有效率波动。</t>
  </si>
  <si>
    <t>执行任务时，不拖延、积极行动，紧盯时间节点，绝大多数任务能按时完成，交付质量稳定。建议受测者在任务较多时主动评估优先级，重新调配时间和精力，必要时及时与相关方沟通确认调整方向。同时养成完成任务后简单复盘的习惯，总结哪些做法有效、哪些需要改进，逐步沉淀出适合自己的一套执行方法。</t>
  </si>
  <si>
    <t>执行不拖延、积极行动，紧盯时间节点，绝大多数任务按时完成、质量稳定。</t>
  </si>
  <si>
    <t>接到任务即快速启动，时间节点意识明确，以稳定的高质量标准推进并完成工作，交付成果令人满意。面对多任务并行时能合理安排先后顺序，有条不紊。建议受测者将自己做计划、排优先级、控制进度的方法梳理出来，在团队内进行分享。同时可以尝试接手需要跨周期协调的复杂任务，在更大范围内提升自己的执行能力。</t>
  </si>
  <si>
    <t>接到任务即快速启动，时间节点明确，以稳定高质量标准推进并完成，成果令人满意。</t>
  </si>
  <si>
    <t>善用数字化工具与AI技术，具备数据思维</t>
  </si>
  <si>
    <t>熟练运用各类数字化工具和AI技术处理工作事务，具备数据思维与人机协作意识，能够借助新技术手段提升工作效率和决策质量。</t>
  </si>
  <si>
    <t>对办公软件操作不熟练，无法独立处理数字相关工作，遇到技术问题依赖他人代办。建议受测者参加办公软件的基础操作培训，从打字、文档编辑、基础表格制作等最基础技能学起，在专人指导下完成配套练习；同时整理一份常用软件的操作要点清单供日常查阅，逐步减少对他人的依赖。</t>
  </si>
  <si>
    <t>办公软件操作不熟练，无法独立处理数字相关工作，遇技术问题依赖他人代办。</t>
  </si>
  <si>
    <t>日常办公软件操作基本够用，但对数字化工具和AI应用接触不多，利用数据辅助判断的意识较弱，遇到技术问题时常需要请教他人。建议受测者先选择与工作内容最相关的数字工具（如在线表格、数据分析软件）深入学习，从解决一个具体的小问题开始，逐步积累使用信心，减少对同事的依赖。</t>
  </si>
  <si>
    <t>办公软件操作基本够用，但对数字化与AI工具接触不多，用数据辅助判断意识弱。</t>
  </si>
  <si>
    <t>可以独立完成常规的办公软件操作和数据处理，对数字化工具和AI应用有一定了解，但只限于基础功能。建议受测者在工作中遇到需要处理数据的情况时，主动尝试用数字化工具替代手工操作。选择一两个AI工具，把常用功能研究透彻，逐步培养“先看数据再判断”的工作习惯。</t>
  </si>
  <si>
    <t>能独立完成常规办公软件与数据处理，对数字化和AI工具有了解，但只限于基础功能。</t>
  </si>
  <si>
    <t>工作中能熟练使用常用数字化和AI工具，数据处理规范准确，能借助技术手段提升效率，遇到常见技术问题能自行解决。建议受测者每天用固定的时间关注行业内的数字化动态，尝试使用更前沿的工具，找到适合自己工作的应用场景。同时思考如何用数据来呈现工作成果，把思维从“处理数据”升级到“用数据讲故事”。</t>
  </si>
  <si>
    <t>熟练使用数字工具，数据处理规范准确，能借助技术手段提升效率，善于自行解决遇到的问题。</t>
  </si>
  <si>
    <t>能熟练运用各类数字化平台和AI工具，通过数据分析发现问题，主动优化工作流程。建议受测者将自己在工具使用和数据应用方面的经验整理成具体的操作指南或简短案例，在团队内进行分享。同时可以主动承担数字化相关的专项任务，在推动流程优化的过程中进一步深化对工具的理解与应用。</t>
  </si>
  <si>
    <t>熟练运用数字化平台和AI工具，通过数据分析发现问题、主动优化流程。</t>
  </si>
  <si>
    <t>追求工作成功，不断挑战更高目标</t>
  </si>
  <si>
    <t>有强烈的追求工作成功的愿望，不断设定挑战性的目标挑战自我，关注自身职业生涯的发展，追求事业的成功和卓越。</t>
  </si>
  <si>
    <t>缺乏完成任务的基本动力，遇到一点困难就放弃，需要强烈的外部推动才能完成工作。建议受测者从遵守最基本的作息和工作规则做起（如按时到岗、按要求完成指定动作），由直接上级进行日常检查和反馈；先借助外部监督和提醒工具维持基本秩序，在稳定执行一段时间后，再逐步尝试自我管理单一事项，循序渐进地建立规则意识。</t>
  </si>
  <si>
    <t>缺乏完成任务的动力，遇一点困难就放弃，需强烈外部推动才完成工作。</t>
  </si>
  <si>
    <t>基本能完成交办的任务，但目标意识不够清晰，对自身能否成功信心不足，不愿承担创新性或挑战性工作，害怕面对失败和困难。但在明确指引或外部激励下，也能完成基本要求。建议受测者从设定小的、明确的目标开始，通过实现一个个小目标来积累“我能行”的正向体验。现阶段不必刻意追求难度，重点是建立敢于尝试的心理基础。</t>
  </si>
  <si>
    <t>基本能完成交办任务，但目标意识不清晰、信心不足，不愿承担挑战性工作。</t>
  </si>
  <si>
    <t>有一定的责任感，愿意尽力达到既定标准和要求，但面对挑战性工作时常感到焦虑、把握不大，不过仍能努力完成任务。建议受测者在接到有难度的任务时，先拆解为若干可控的小步骤，分步推进，每完成一步就给自己一次正向确认。同时观察团队中成就动机较强的同事是如何看待和处理挑战的，从中获得启发和借鉴。</t>
  </si>
  <si>
    <t>愿意尽力达到既定标准和要求，但面对挑战性工作时常感到焦虑、把握不大，不过仍能努力完成任务。</t>
  </si>
  <si>
    <t>目标较为明确，自信心较强，相信自己能把事情办好，愿意接受有挑战性的任务并努力完成。建议受测者在完成一个目标后，主动复盘“还有哪些地方可以做得更好”，逐步培养持续改进的意识。同时可在常规任务之外，主动寻找一些能提升自身能力的额外挑战，保持向上的动力。</t>
  </si>
  <si>
    <t>目标较明确、自信心较强，相信自己能把事办好，愿意接受挑战性任务并努力完成。</t>
  </si>
  <si>
    <t>有明确的目标，自信心强，为达成目标全力以赴、不轻易放弃，主动争取挑战性的工作机会。建议受测者在团队中主动承担需要攻坚克难的任务，进一步验证和提升自己在高难度情境下的表现。同时关注自身的职业发展路径，将短期目标与长期成长方向有机结合起来。</t>
  </si>
  <si>
    <t>目标明确、自信心强，为达成目标全力以赴、不轻易放弃，主动争取挑战机会。</t>
  </si>
  <si>
    <t>主动学习，多渠道获取知识并学以致用</t>
  </si>
  <si>
    <t>保持学习新知识、新技能的意愿，善于通过观察、请教和实践等多种途径获取知识，并将所学有效运用到实际工作中。</t>
  </si>
  <si>
    <t>学习意愿和能力都比较弱，新知识难以学会，需要反复讲解才能勉强理解，几乎无法将所学用于工作。建议受测者从最基础、最贴近岗位的单一知识点学起，每周只聚焦一个主题，在同事或导师的反复讲解和示范下学习，学完立即在简单场景中实操一遍；建议建立“学习—实践—反馈”的小循环，由他人定期检查学习效果，先恢复基本学习能力，再逐步培养主动学习的习惯。</t>
  </si>
  <si>
    <t>学习意愿与能力较弱，新知识难学会，需反复讲解才勉强理解，几乎无法用于工作。</t>
  </si>
  <si>
    <t>有学习新事物的基本意识，但学习的主动性和方法较为单一，更多依赖被动接收而非主动通过观察、请教和实践来获取知识，吸收速度偏慢。建议受测者尝试用不同的方式去学习新的知识点，从中找到最适合自己的学习方式。但重点不是学多少，而是培养“主动学习”的习惯。</t>
  </si>
  <si>
    <t>有学习新事物的基本意识，但主动性不足、方法单一，多被动接收，吸收偏慢。</t>
  </si>
  <si>
    <t>在有明确要求时能主动学习新技能，经过练习后多数能掌握和运用。但举一反三的意识不足，将所学迁移到实际工作中的能力有待加强。建议受测者在学习新东西时，同步思考“这个知识可以用在哪儿”。学完后主动找一个实际场景去试一试，通过应用来检验和巩固学习效果。</t>
  </si>
  <si>
    <t>有明确要求的能主动学新技能，经练习后多数能掌握并运用，但知识应用能力有待提升。</t>
  </si>
  <si>
    <t>大部分新知识、新技能都能通过自主观察和实操较快掌握关键点，并能将所学独立应用到相似的工作情境中。但跨领域的迁移能力和深度钻研的习惯还需要加强。建议受测者学完一项新内容后，主动寻找跟当前工作相关度低的应用可能，拓宽思考的边界。同时可以尝试阅读一些案例类的文章，了解他人是如何应用相似知识的。</t>
  </si>
  <si>
    <t>大部分新知识能通过自主观察和实操较快掌握，并能独立应用到相似工作情境。</t>
  </si>
  <si>
    <t>善于通过观察、请教和实践等多种方式快速吸收新知识，并将所学灵活应用到不同场景中。建议受测者将学习和应用的经验分享给团队，一方面帮助他人，另一方面通过讲解来深化自己的理解。同时可以锁定一到两个专业方向进行较深度的钻研。</t>
  </si>
  <si>
    <t>善于通过观察、请教、实践快速吸收新知，并灵活应用到不同场景。</t>
  </si>
  <si>
    <t>清晰传递信息，重视倾听与反馈</t>
  </si>
  <si>
    <t>用准确恰当的语言传递信息，表达观点时条理清晰、重点突出，同时重视倾听与反馈，保证信息传达到位、理解准确。</t>
  </si>
  <si>
    <t>难以清楚地表达自己的想法，表达混乱、词不达意，倾听时经常漏掉关键信息，沟通基本无法有效进行。建议受测者从练习“三句话讲清一件事”开始，先在熟悉的同事面前进行简短的口头汇报练习，由对方复述确认是否听懂；每次沟通后记录对方的反馈，在他人指导下纠正表达中的明显问题，逐步建立最基本的表达与倾听能力。</t>
  </si>
  <si>
    <t>对清楚表达想法有困难，表达混乱、词不达意，倾听常漏关键信息，沟通不能有效进行。</t>
  </si>
  <si>
    <t>基本能说清自己的想法，但条理性和重点把握还不够强，倾听时也不够专注，偶尔因表达不清让人误解。建议受测者在需要说明一件事情之前，先想清楚“我最想让对方知道的三点是什么”，然后按照这个顺序来说明。与他人沟通时，养成在对方说完后用自己的话简要复述一遍的习惯，核对理解是否准确。</t>
  </si>
  <si>
    <t>基本能说清想法，但条理性与重点把握不强，倾听不够专注，偶尔让人误解。</t>
  </si>
  <si>
    <t>能把想法表达清楚，让对方理解自己的意图，倾听时也能抓住主要内容，但表述偶尔不够精准。建议受测者练习“结论先行”的表达方式——先说最重要的结论或请求，再补充其他相关内容。同时注意观察对方在听的过程中的反应，如果发现对方有困惑，及时停下来确认一下“我有没有说清楚”。</t>
  </si>
  <si>
    <t>多数情况下能把想法表达清楚，让对方理解自己的意图，倾听时也能抓住主要内容，但表述有时不够精准。</t>
  </si>
  <si>
    <t>多数沟通场景中，能够表达清楚完整，围绕要点把信息说明白，倾听较为专注，对方能准确理解自己的意图。建议受测者在沟通前先根据对方的工作背景和关注点，有意识地调整表达方式和详略程度。多练习用不同的方式说同一件事，提升表达的灵活性。</t>
  </si>
  <si>
    <t>多数场景能表达清楚完整、围绕要点说明白，倾听专注，可以让对方准确理解意图。</t>
  </si>
  <si>
    <t>沟通中，表达清晰、重点明确，能根据沟通对象灵活调整表达方式；复杂沟通情境中能准确把握对方意图与立场，有效推动共识达成。建议受测者在团队内部承担更多需要协调多方的工作，将沟通优势转化为推动协作的实际能力。同时可以总结自己在沟通方面的心得，帮助身边的同事改善沟通效果。</t>
  </si>
  <si>
    <t>表达清晰、重点明确，能据对象灵活调整方式，复杂情境中可以准确把握对方立场、推动共识。</t>
  </si>
  <si>
    <t>主动协作，乐于分享，促成共赢</t>
  </si>
  <si>
    <t>能主动配合他人开展工作，乐于分享信息和资源，妥善处理分歧，及时补位，与团队成员共同推动目标实现。</t>
  </si>
  <si>
    <t>不太参与团队协作，只关注自己，不愿配合他人，与其他成员共事比较困难。建议受测者从履行协作中的最基本责任做起，如按时、按要求提供自己负责的部分；由团队负责人明确其协作分工和接口要求，必要时安排经验丰富的同事带教，在其完成协作动作后及时给予反馈，逐步建立最基本的配合意识。</t>
  </si>
  <si>
    <t>不太参与协作，只关注自己、不愿配合他人，与成员共事较困难。</t>
  </si>
  <si>
    <t>基本能完成分工内的工作，但习惯独立作业，与同事配合的意识不强，不太关注团队整体进展。分享信息和资源比较被动，遇到意见分歧时容易固守己见。建议受测者从主动确认自己的职责边界和协作要求开始，遇到需要配合的任务时，主动同步工作进展，让他人了解在做什么。练习在分歧出现时先听完对方完整观点，再平和地表达自己的想法，逐步建立协作信任。</t>
  </si>
  <si>
    <t>基本可以完成分工内工作，但习惯独立作业、配合意识不强，不太关注团队进展。</t>
  </si>
  <si>
    <t>能与团队成员配合，完成分配的任务，遇到分歧时能听取他人合理建议。但主动补位、信息同步和换位思考做得还不够，遇到职责不清时容易各干各的，跨部门合作时也较少主动同步进度。建议受测者在协作中主动同步进展、确认需求，不等对方来问；接手任务前先与相关同事确认分工和边界，明确各自的职责。同时试着站在对方角度理解其困难，用“我怎么帮你推进”的思维替代“我做完自己的就行”。</t>
  </si>
  <si>
    <t>能与成员配合完成分配任务，遇分歧能听取他人合理建议，但团队事物主动性有待加强。</t>
  </si>
  <si>
    <t>能主动配合团队需要，分享信息和资源，能较好地完成分工并支持他人，遇到分歧时也能表达自己的看法。协作整体顺畅，基本不会因个人原因拖慢团队节奏，但在主动发现团队需求和补位方面还可以更主动。建议受测者在团队中主动承担信息对齐和进度同步的工作，帮大家保持信息透明，比如在项目关键节点汇总各方进展。遇到分歧时，先归纳双方立场，再提出兼顾各方利益的方案，而不只是协调或让步。</t>
  </si>
  <si>
    <t>能主动配合团队、分享资源，较好完成分工并支持他人，紧跟团队节奏推进工作。</t>
  </si>
  <si>
    <t>能积极配合团队协作，主动分享信息和资源，不计较分工轻重，能敏锐发现团队中的空缺并及时补位。敢于在讨论中提出不同方案供大家权衡，善于协调各方达成共识，营造良好的协作氛围。建议受测者进一步发挥“粘合剂”作用，主动关注协作流程中的堵点和卡点，提前化解矛盾。同时可以尝试在跨团队协作中承担牵头协调的角色，把个人协作经验推广到更大范围。</t>
  </si>
  <si>
    <t>积极配合协作，主动分享资源、不计较分工，能敏锐发现团队空缺并及时补位，善于协调各方达成共识。</t>
  </si>
  <si>
    <t>追求真理，尊重事实，注重实效</t>
  </si>
  <si>
    <t>坚持追求事物的客观真相，尊重事实和数据，注重实际效果，以解决问题为根本导向，反对形式主义和空谈。</t>
  </si>
  <si>
    <t>行事凭感觉和个人喜好，很少考虑事实依据，汇报内容与实际工作往往存在明显出入。建议受测者从“每做一个判断先写出依据”开始，在他人协助下核对基本事实和数据，养成用事实说话的记录习惯；汇报前先自查一遍内容是否与实际相符，由上级对重要汇报进行核实，逐步建立实事求是的基本意识。</t>
  </si>
  <si>
    <t>行事凭感觉和喜好，很少考虑事实依据，汇报内容与实际情况常有明显出入。</t>
  </si>
  <si>
    <t>基本能按要求推进工作，但更关注事情做完而非效果到位，对事实和数据的重视不够，有时凭感觉和经验做判断，汇报时倾向于呈现有利一面而非如实反映情况。建议受测者在完成每项任务后追问自己一句“这个问题彻底解决了吗”，把标准从“做完”提升到“做到位”。汇报前先自己核对一遍，确保没有被遗漏或美化的部分。</t>
  </si>
  <si>
    <t>基本按要求推进，但重做完轻效果，对事实数据重视不够，汇报倾向呈现有利一面。</t>
  </si>
  <si>
    <t>能以实际效果为标准衡量工作，但核实意识不够深入，容易止步于表面达标，对事实真相的探究浅尝辄止。建议受测者在听到或看到重要信息时多问一句“这个信息的来源是什么”“还有没有其他说法”，逐步养成核实验证的习惯。遇到问题时尝试多追问一层原因，不要停留在表面现象。</t>
  </si>
  <si>
    <t>能以实际效果为标准衡量工作，但核实意识不够深入，容易止步于表面达标，对事实真相的探究有待提升。</t>
  </si>
  <si>
    <t>能以事实和效果为决策依据，不凭感觉行事，能主动核实关键数据和信息来源，确保工作建立在客观事实之上。建议受测者在遇到不同来源的说法时，做多方比对和溯源，找到真实可靠的依据。同时更加关注工作成果的实际效果，用数据来检验自己的工作是否有价值。</t>
  </si>
  <si>
    <t>可以做到以事实和效果为依据，核实关键数据和信息来源，确保工作建立在客观事实之上。</t>
  </si>
  <si>
    <t>坚持以事实和效果为衡量标准，追求客观真相，能敏锐地发现信息中的矛盾之处并深入核查。建议受测者在团队内推广“以结果论成效”的思维方式，引导团队成员关注真实产出而非过程形式。在涉及重要判断的任务中，可承担事实核查和质量把关的角色。</t>
  </si>
  <si>
    <t>坚持以事实和效果为衡量标准，追求客观真相，能敏锐发现矛盾并深入核查。</t>
  </si>
  <si>
    <t>自我约束，规划在先，言行一致</t>
  </si>
  <si>
    <t>能够自我约束、严格要求自己，做事有事先的规划和控制，有清晰的个人标准并以此规范行为，即使在无人监督时也能坚持按计划行事。</t>
  </si>
  <si>
    <t>自我约束能力较弱，做事随心所欲，难以按规则和要求行事，几乎任何工作都需要外部全程监督。建议受测者从遵守最简单的工作规则做起，如按时上下班、按时完成指定动作，在持续监督下逐步形成最基本的规则意识。</t>
  </si>
  <si>
    <t>自我约束能力较弱，做事随心所欲，难按规则行事，几乎任何工作都需外部监督。</t>
  </si>
  <si>
    <t>在日常工作中，有基础的自我约束力，但做事缺少事先的规划和控制，更容易随性而为，面对约束时容易松懈，不过在有明确规则或外部监督时能收敛行为。建议受测者从给自己设定简单的行为规则开始（如“每天上班前15分钟不做与工作无关的事”），并主动排除环境中的干扰因素。先从短期、易达成的目标练起，逐步建立自律的信心。</t>
  </si>
  <si>
    <t>有基础自我约束力，但缺少事先规划控制、易随性而为，面对约束易松懈。</t>
  </si>
  <si>
    <t>能按基本要求约束自身行为，有规划意识但不够系统和稳定，面对周期长或重复性高的工作时容易松懈，不过在明确节点约束下能跟上节奏。建议其在接到任务时主动制定书面计划，设定具体的阶段目标和时间节点。每完成一个阶段就给自己一点正向反馈，通过“计划—执行—复盘”的循环维持专注，逐步将外部约束内化为自觉行动。</t>
  </si>
  <si>
    <t>能按基本要求约束自身行为，有规划意识但不够系统稳定，周期长时易松懈。</t>
  </si>
  <si>
    <t>能主动约束自身行为，具备一定的个人标准，能按计划推进工作，面对常规任务时能保持专注，但在独立状态下偶有松懈，需偶尔提醒才能维持节奏。建议受测者养成每日复盘的习惯——今天哪些做到了、哪些没做到、为什么。通过持续的自我反馈，逐步提升自我管理能力。同时注意在执行计划时留出适度的弹性空间，让计划更可持续。</t>
  </si>
  <si>
    <t>主动约束自身行为，按计划推进工作，面对常规任务时能保持专注。</t>
  </si>
  <si>
    <t>能自律处事，具备清晰的个人标准并以此严格要求自己，言行一致，即便在无人监督时也能按既定计划和规则行事。建议受测者将自律的经验与方法分享给团队，帮助同事建立更好的自我管理习惯。在承担需要长期持续投入的任务时，可充分发挥其在节奏把控方面的优势。</t>
  </si>
  <si>
    <t>能自律处事，具备清晰个人标准并严格要求自己，言行一致，无人监督也按规则行事。</t>
  </si>
  <si>
    <t>视工作为使命，全心投入，甘于奉献</t>
  </si>
  <si>
    <t>将工作视为使命，以高度的责任感和奉献精神对待岗位职责，不计较分内分外，愿意为团队和组织目标付出额外努力。</t>
  </si>
  <si>
    <t>对工作缺乏基本的责任心，经常拖延或敷衍了事，需要在持续监督下才能维持最低限度的正常工作。建议受测者从“对交办事项负责到底”做起，每件任务完成后主动向上级汇报结果，接受检查与反馈，养成“接事必办、办完必报”的基本习惯，逐步内化为自觉行为。</t>
  </si>
  <si>
    <t>对工作缺乏基本责任心，常拖延或敷衍，需持续监督才能维持最低限度工作。</t>
  </si>
  <si>
    <t>能基本完成分内职责，对工作有一定的责任心，但投入度和奉献精神尚不够，需要额外付出时倾向于回避，有时需要反复推动才能跟上节奏。建议受测者先从“当日事当日毕”做起，对待每一项任务不推诿、不拖延，守住责任底线；在此基础上，再逐步培养主动多做一点的习惯。</t>
  </si>
  <si>
    <t>能基本完成分内职责、有一定责任心，但投入与奉献不足，需额外付出时倾向回避。</t>
  </si>
  <si>
    <t>能认真对待本职工作，按时保质完成任务，需要时愿意多花时间和精力，但主动奉献和承担额外工作的意识还不够强，倾向于“做安排好的事”。建议受测者在完成本职工作后，多问一句“我还能做什么”，主动观察团队当前需要什么支持。从小的额外工作开始，在具体行动中逐步养成主动承担的习惯。</t>
  </si>
  <si>
    <t>能认真对待本职、按时保质完成任务，但主动奉献与承担额外工作的意识不强。</t>
  </si>
  <si>
    <t>具备较强的使命感和责任感，能主动承担分内分外的工作，愿意为团队目标付出额外努力，交付质量有保障。建议受测者培养提前发现需求的能力，主动填补工作中的空白，而不是等别人来安排。同时关注工作成果对团队目标的实际贡献，从“做事”提升到“做成事”。</t>
  </si>
  <si>
    <t>具备较强使命感与责任感，能主动承担分内分外工作，愿为团队付出额外努力。</t>
  </si>
  <si>
    <t>具备高度的责任感和投入度，将工作视为自己的事情来对待。在关键时刻能以大局为重，不计较个人得失，主动承担急难任务。建议受测者从“完成任务”转向“创造价值”，多思考自己的工作如何更好地服务团队整体目标。同时通过自己的行为影响身边的同事，在团队中发挥正向带动作用。</t>
  </si>
  <si>
    <t>具备高度责任感与投入度，将工作视为自己的事来对待，关键时刻能够勇担重任。</t>
  </si>
  <si>
    <t>模块</t>
  </si>
  <si>
    <t>具体维度</t>
  </si>
  <si>
    <t>常模分</t>
  </si>
  <si>
    <t>与常模对比结果分析</t>
  </si>
  <si>
    <t>对应报告概览各模块评价</t>
  </si>
  <si>
    <t>逻辑思维</t>
  </si>
  <si>
    <t>S≥75，优势突出，
60≤S&lt;75，略高于常模分，
56≤S&lt;60，与常模分持平，
S&lt;56，低于常模分</t>
  </si>
  <si>
    <t>计划执行</t>
  </si>
  <si>
    <t>数字应用</t>
  </si>
  <si>
    <t>成就导向</t>
  </si>
  <si>
    <t>持续学习</t>
  </si>
  <si>
    <t>沟通表达</t>
  </si>
  <si>
    <t>S≥70，优势突出，
56≤S&lt;70，略高于常模分，
50≤S&lt;56，与常模分持平，
S&lt;50，低于常模分</t>
  </si>
  <si>
    <t>合作意识</t>
  </si>
  <si>
    <t>求真务实</t>
  </si>
  <si>
    <t>S≥75，优势突出，
63≤S&lt;75，略高于常模分，
58≤S&lt;63，与常模分持平，
S&lt;58，低于常模分</t>
  </si>
  <si>
    <t>自律性</t>
  </si>
  <si>
    <t>敬业奉献</t>
  </si>
  <si>
    <t>报告概览这部分是按分数由高到低排列三个模块的评价</t>
  </si>
  <si>
    <t>自我管理类优势突出，任务管理类略高于常模分，人际管理类与常模分持平。</t>
  </si>
  <si>
    <t>基层员工胜任力测评总体评价</t>
  </si>
  <si>
    <t>胜任者类型</t>
  </si>
  <si>
    <t>百分制（上包含）</t>
  </si>
  <si>
    <t>使用建议</t>
  </si>
  <si>
    <t>优秀胜任</t>
  </si>
  <si>
    <t>S≥90分</t>
  </si>
  <si>
    <t>大多数情况下，整体工作表现优秀，能够稳定、高质量地完成各项工作任务，交付成果令人满意。面对复杂或突发的工作情境，能够保持稳定发挥，不因外部变化而影响工作水准。对工作有较高的自我要求，责任心较强，能够主动把职责内的事情做好、做扎实。</t>
  </si>
  <si>
    <t>受测者在岗位胜任力上整体表现优秀，较好具备胜任当前工作的各项条件。建议在人才决策与培养中，以其低分项（受测者的分数最低的两个维度）为重点关注方向，并结合面试、业绩等其他信息综合判断，避免单独依据本报告得出结论。</t>
  </si>
  <si>
    <t>良好胜任</t>
  </si>
  <si>
    <t>70≤S&lt;90分</t>
  </si>
  <si>
    <t>一般情况下，整体工作表现良好，需要完成的任务可以顺畅交付、质量可靠。面对陌生或突发状况时偶尔需要短暂适应，但能迅速自我调整、恢复正常节奏。整体工作状态稳定可靠，能够较好地完成各项工作。</t>
  </si>
  <si>
    <t>受测者在岗位胜任力上整体表现良好，较好具备胜任当前工作的基本条件。建议在人才决策与培养中，以其低分项（受测者的分数最低的两个维度）为重点关注方向，并结合面试、业绩等其他信息综合判断，避免单独依据本报告得出结论。</t>
  </si>
  <si>
    <t>合格胜任</t>
  </si>
  <si>
    <t>30≤S&lt;70分</t>
  </si>
  <si>
    <t>工作表现符合岗位的基本要求，能够独立完成日常工作中的绝大多数常规任务，交付质量基本达标，节奏平稳。在任务繁重或压力较大时效率有所波动，但经自我调整后可逐步恢复。处于稳定履职阶段，能够胜任日常工作，但在主动寻求突破与工作方法改进上仍有提升空间。</t>
  </si>
  <si>
    <t>受测者在岗位胜任力上整体表现合格，具备基本胜任当前工作的条件。建议在人才决策与培养中，以其低分项（受测者的分数最低的两个维度）为重点关注方向，并结合面试、业绩等其他信息综合判断，避免单独依据本报告得出结论。</t>
  </si>
  <si>
    <t>薄弱胜任</t>
  </si>
  <si>
    <t>10≤S&lt;30分</t>
  </si>
  <si>
    <t>能够完成一部分简单、明确的常规工作，但独立处理问题的能力明显不足，任务交付质量不够稳定，常需他人指导与督促。对岗位职责的理解尚不深入，遇到复杂或需要自主决策的工作时难以独立推进，与岗位要求存在明显差距。目前尚处于胜任力培养的起步阶段，需通过系统的学习与实践逐步建立稳定的工作能力。</t>
  </si>
  <si>
    <t>受测者在岗位胜任力上整体表现薄弱，较少具备胜任当前工作的基本条件。建议在人才决策与培养中，以其低分项（受测者的分数最低的三个维度）为重点关注方向，并结合面试、业绩等其他信息综合判断，避免单独依据本报告得出结论。</t>
  </si>
  <si>
    <t>尚未胜任</t>
  </si>
  <si>
    <t>S&lt;10分</t>
  </si>
  <si>
    <t>目前整体胜任水平与岗位要求差距显著，仅能完成极少部分最为简单的任务，交付质量低且不稳定，高度依赖他人指导，多数工作情境中难以独立开展，长期处于被动应对状态，尚不具备独立履职的能力基础。</t>
  </si>
  <si>
    <t>受测者在岗位胜任力上整体表现较差，不具备胜任当前工作的基本条件。建议在人才决策与培养中，以其低分项（受测者的分数最低的三个维度）为重点关注方向，并结合面试、业绩等其他信息综合判断，避免单独依据本报告得出结论。</t>
  </si>
  <si>
    <t>与常模对比结果分析
对应报告概览总体评价
总体常模分是57.75</t>
  </si>
  <si>
    <t>S≥70分，优于常模分，对应等级看类型区间；</t>
  </si>
  <si>
    <t>63≤S&lt;70分，略高于常模分，对应合格胜任；</t>
  </si>
  <si>
    <t>55≤S&lt;63分，基本与常模分持平，对应合格胜任；</t>
  </si>
  <si>
    <t>S&lt;55，低于常模分，对应等级看类型区间；</t>
  </si>
  <si>
    <t>得分</t>
  </si>
  <si>
    <t>任务管理</t>
  </si>
  <si>
    <t>人际管理</t>
  </si>
  <si>
    <t>自我管理</t>
  </si>
  <si>
    <t>总体评价图表</t>
  </si>
  <si>
    <t>对比分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</si>
</sst>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8">
    <font>
      <sz val="11"/>
      <color theme="1"/>
      <name val="宋体"/>
      <charset val="134"/>
      <scheme val="minor"/>
    </font>
    <font>
      <sz val="11"/>
      <color theme="1"/>
      <name val="宋体"/>
      <charset val="134"/>
    </font>
    <font>
      <b/>
      <sz val="20"/>
      <color theme="1"/>
      <name val="宋体"/>
      <charset val="134"/>
      <scheme val="minor"/>
    </font>
    <font>
      <b/>
      <sz val="12"/>
      <color rgb="FF000000"/>
      <name val="宋体"/>
      <charset val="134"/>
    </font>
    <font>
      <sz val="10"/>
      <color rgb="FF0000FF"/>
      <name val="宋体"/>
      <charset val="134"/>
    </font>
    <font>
      <sz val="12"/>
      <color rgb="FF000000"/>
      <name val="宋体"/>
      <charset val="134"/>
    </font>
    <font>
      <b/>
      <sz val="10.5"/>
      <color rgb="FF0000FF"/>
      <name val="宋体"/>
      <charset val="134"/>
    </font>
    <font>
      <sz val="10.5"/>
      <color rgb="FF000000"/>
      <name val="微软雅黑"/>
      <charset val="134"/>
    </font>
    <font>
      <b/>
      <sz val="11"/>
      <color rgb="FF000000"/>
      <name val="宋体"/>
      <charset val="134"/>
    </font>
    <font>
      <sz val="11"/>
      <color rgb="FF000000"/>
      <name val="宋体"/>
      <charset val="134"/>
    </font>
    <font>
      <sz val="12"/>
      <color theme="1"/>
      <name val="宋体"/>
      <charset val="134"/>
      <scheme val="minor"/>
    </font>
    <font>
      <sz val="18"/>
      <color rgb="FFFF0000"/>
      <name val="微软雅黑"/>
      <charset val="134"/>
    </font>
    <font>
      <b/>
      <sz val="20"/>
      <color rgb="FF000000"/>
      <name val="宋体"/>
      <charset val="134"/>
    </font>
    <font>
      <sz val="12"/>
      <name val="宋体"/>
      <charset val="134"/>
    </font>
    <font>
      <sz val="10.5"/>
      <color theme="1"/>
      <name val="微软雅黑"/>
      <charset val="134"/>
    </font>
    <font>
      <sz val="11.25"/>
      <color rgb="FF000000"/>
      <name val="Arial"/>
      <charset val="134"/>
    </font>
    <font>
      <sz val="12"/>
      <color theme="1"/>
      <name val="宋体"/>
      <charset val="134"/>
    </font>
    <font>
      <b/>
      <sz val="20"/>
      <color theme="1"/>
      <name val="宋体"/>
      <charset val="134"/>
    </font>
    <font>
      <b/>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9" fillId="0" borderId="0">
      <alignment vertical="center"/>
    </xf>
    <xf numFmtId="0" fontId="20" fillId="0" borderId="0">
      <alignment vertical="center"/>
    </xf>
    <xf numFmtId="0" fontId="0" fillId="2" borderId="13">
      <alignment vertical="center"/>
    </xf>
    <xf numFmtId="0" fontId="21" fillId="0" borderId="0">
      <alignment vertical="center"/>
    </xf>
    <xf numFmtId="0" fontId="22" fillId="0" borderId="0">
      <alignment vertical="center"/>
    </xf>
    <xf numFmtId="0" fontId="23" fillId="0" borderId="0">
      <alignment vertical="center"/>
    </xf>
    <xf numFmtId="0" fontId="24" fillId="0" borderId="14">
      <alignment vertical="center"/>
    </xf>
    <xf numFmtId="0" fontId="25" fillId="0" borderId="14">
      <alignment vertical="center"/>
    </xf>
    <xf numFmtId="0" fontId="26" fillId="0" borderId="15">
      <alignment vertical="center"/>
    </xf>
    <xf numFmtId="0" fontId="26" fillId="0" borderId="0">
      <alignment vertical="center"/>
    </xf>
    <xf numFmtId="0" fontId="27" fillId="3" borderId="16">
      <alignment vertical="center"/>
    </xf>
    <xf numFmtId="0" fontId="28" fillId="4" borderId="17">
      <alignment vertical="center"/>
    </xf>
    <xf numFmtId="0" fontId="29" fillId="4" borderId="16">
      <alignment vertical="center"/>
    </xf>
    <xf numFmtId="0" fontId="30" fillId="5" borderId="18">
      <alignment vertical="center"/>
    </xf>
    <xf numFmtId="0" fontId="31" fillId="0" borderId="19">
      <alignment vertical="center"/>
    </xf>
    <xf numFmtId="0" fontId="32" fillId="0" borderId="20">
      <alignment vertical="center"/>
    </xf>
    <xf numFmtId="0" fontId="33" fillId="6" borderId="0">
      <alignment vertical="center"/>
    </xf>
    <xf numFmtId="0" fontId="34" fillId="7" borderId="0">
      <alignment vertical="center"/>
    </xf>
    <xf numFmtId="0" fontId="35" fillId="8" borderId="0">
      <alignment vertical="center"/>
    </xf>
    <xf numFmtId="0" fontId="36" fillId="9" borderId="0">
      <alignment vertical="center"/>
    </xf>
    <xf numFmtId="0" fontId="37" fillId="10" borderId="0">
      <alignment vertical="center"/>
    </xf>
    <xf numFmtId="0" fontId="37" fillId="11" borderId="0">
      <alignment vertical="center"/>
    </xf>
    <xf numFmtId="0" fontId="36" fillId="12" borderId="0">
      <alignment vertical="center"/>
    </xf>
    <xf numFmtId="0" fontId="36" fillId="13" borderId="0">
      <alignment vertical="center"/>
    </xf>
    <xf numFmtId="0" fontId="37" fillId="14" borderId="0">
      <alignment vertical="center"/>
    </xf>
    <xf numFmtId="0" fontId="37" fillId="15" borderId="0">
      <alignment vertical="center"/>
    </xf>
    <xf numFmtId="0" fontId="36" fillId="16" borderId="0">
      <alignment vertical="center"/>
    </xf>
    <xf numFmtId="0" fontId="36" fillId="17" borderId="0">
      <alignment vertical="center"/>
    </xf>
    <xf numFmtId="0" fontId="37" fillId="18" borderId="0">
      <alignment vertical="center"/>
    </xf>
    <xf numFmtId="0" fontId="37" fillId="19" borderId="0">
      <alignment vertical="center"/>
    </xf>
    <xf numFmtId="0" fontId="36" fillId="20" borderId="0">
      <alignment vertical="center"/>
    </xf>
    <xf numFmtId="0" fontId="36" fillId="21" borderId="0">
      <alignment vertical="center"/>
    </xf>
    <xf numFmtId="0" fontId="37" fillId="22" borderId="0">
      <alignment vertical="center"/>
    </xf>
    <xf numFmtId="0" fontId="37" fillId="23" borderId="0">
      <alignment vertical="center"/>
    </xf>
    <xf numFmtId="0" fontId="36" fillId="24" borderId="0">
      <alignment vertical="center"/>
    </xf>
    <xf numFmtId="0" fontId="36" fillId="25" borderId="0">
      <alignment vertical="center"/>
    </xf>
    <xf numFmtId="0" fontId="37" fillId="26" borderId="0">
      <alignment vertical="center"/>
    </xf>
    <xf numFmtId="0" fontId="37" fillId="27" borderId="0">
      <alignment vertical="center"/>
    </xf>
    <xf numFmtId="0" fontId="36" fillId="28" borderId="0">
      <alignment vertical="center"/>
    </xf>
    <xf numFmtId="0" fontId="36" fillId="29" borderId="0">
      <alignment vertical="center"/>
    </xf>
    <xf numFmtId="0" fontId="37" fillId="30" borderId="0">
      <alignment vertical="center"/>
    </xf>
    <xf numFmtId="0" fontId="37" fillId="31" borderId="0">
      <alignment vertical="center"/>
    </xf>
    <xf numFmtId="0" fontId="36" fillId="32" borderId="0">
      <alignment vertical="center"/>
    </xf>
  </cellStyleXfs>
  <cellXfs count="81">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horizontal="center" vertical="center"/>
    </xf>
    <xf numFmtId="176" fontId="0" fillId="0" borderId="0" xfId="0" applyNumberFormat="1" applyFill="1" applyBorder="1" applyAlignment="1">
      <alignment horizontal="center" vertical="center"/>
    </xf>
    <xf numFmtId="0" fontId="1" fillId="0" borderId="0" xfId="0" applyFont="1" applyFill="1" applyBorder="1" applyAlignment="1">
      <alignment horizontal="justify" vertical="center" indent="2"/>
    </xf>
    <xf numFmtId="176" fontId="0" fillId="0" borderId="0" xfId="0" applyNumberFormat="1" applyFill="1" applyBorder="1" applyAlignment="1">
      <alignment vertical="center"/>
    </xf>
    <xf numFmtId="0" fontId="0" fillId="0" borderId="0" xfId="0" applyAlignment="1">
      <alignment horizontal="center" vertical="center"/>
    </xf>
    <xf numFmtId="0" fontId="1" fillId="0" borderId="0" xfId="0" applyFont="1" applyFill="1" applyAlignment="1">
      <alignment horizontal="justify" vertical="center" indent="2"/>
    </xf>
    <xf numFmtId="176" fontId="0" fillId="0" borderId="0" xfId="0" applyNumberFormat="1" applyAlignment="1">
      <alignment vertical="center"/>
    </xf>
    <xf numFmtId="0" fontId="0" fillId="0" borderId="0" xfId="0">
      <alignment vertical="center"/>
    </xf>
    <xf numFmtId="176" fontId="0" fillId="0" borderId="0" xfId="0" applyNumberFormat="1">
      <alignment vertical="center"/>
    </xf>
    <xf numFmtId="0" fontId="0" fillId="0" borderId="0" xfId="0" applyAlignment="1"/>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0" xfId="0" applyAlignment="1">
      <alignmen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5" xfId="0" applyBorder="1" applyAlignment="1"/>
    <xf numFmtId="0" fontId="6" fillId="0" borderId="6" xfId="0" applyFont="1" applyBorder="1" applyAlignment="1">
      <alignment horizontal="center" vertical="center" wrapText="1"/>
    </xf>
    <xf numFmtId="0" fontId="0" fillId="0" borderId="6" xfId="0" applyBorder="1" applyAlignment="1"/>
    <xf numFmtId="0" fontId="4" fillId="0" borderId="5" xfId="0" applyFont="1" applyBorder="1" applyAlignment="1">
      <alignment horizontal="center" vertical="center" wrapText="1"/>
    </xf>
    <xf numFmtId="0" fontId="0" fillId="0" borderId="0" xfId="0" applyAlignment="1">
      <alignment wrapText="1"/>
    </xf>
    <xf numFmtId="0" fontId="7" fillId="0" borderId="0" xfId="0" applyFont="1">
      <alignment vertical="center"/>
    </xf>
    <xf numFmtId="0" fontId="8" fillId="0" borderId="1" xfId="0" applyFont="1" applyBorder="1" applyAlignment="1">
      <alignment horizontal="justify" vertical="center"/>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0" fillId="0" borderId="7" xfId="0" applyBorder="1" applyAlignment="1"/>
    <xf numFmtId="0" fontId="0" fillId="0" borderId="7" xfId="0" applyBorder="1" applyAlignment="1">
      <alignment horizontal="center"/>
    </xf>
    <xf numFmtId="0" fontId="9" fillId="0" borderId="1" xfId="0" applyFont="1" applyBorder="1" applyAlignment="1">
      <alignment horizontal="center" vertical="center"/>
    </xf>
    <xf numFmtId="0" fontId="9" fillId="0" borderId="1" xfId="0" applyFont="1" applyBorder="1" applyAlignment="1">
      <alignment horizontal="justify" vertical="center"/>
    </xf>
    <xf numFmtId="0" fontId="9" fillId="0" borderId="8" xfId="0" applyFont="1" applyBorder="1" applyAlignment="1">
      <alignment horizontal="center" vertical="center"/>
    </xf>
    <xf numFmtId="0" fontId="9" fillId="0" borderId="1" xfId="0" applyFont="1" applyBorder="1" applyAlignment="1">
      <alignment horizontal="center" vertical="center" wrapText="1"/>
    </xf>
    <xf numFmtId="0" fontId="0" fillId="0" borderId="9" xfId="0" applyBorder="1" applyAlignment="1"/>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9" fillId="0" borderId="0" xfId="0" applyFont="1" applyAlignment="1">
      <alignment horizontal="justify" vertical="center"/>
    </xf>
    <xf numFmtId="0" fontId="9"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vertical="center" wrapText="1"/>
    </xf>
    <xf numFmtId="0" fontId="11" fillId="0" borderId="0" xfId="0" applyFont="1" applyAlignment="1">
      <alignment horizontal="left" vertical="center" wrapText="1"/>
    </xf>
    <xf numFmtId="0" fontId="12" fillId="0" borderId="10" xfId="0" applyFont="1" applyBorder="1" applyAlignment="1">
      <alignment horizontal="center" vertical="center" wrapText="1"/>
    </xf>
    <xf numFmtId="0" fontId="12" fillId="0" borderId="0" xfId="0" applyFont="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horizontal="justify" vertical="center"/>
    </xf>
    <xf numFmtId="0" fontId="13" fillId="0" borderId="1" xfId="0" applyFont="1" applyBorder="1" applyAlignment="1">
      <alignment horizontal="justify" vertical="center"/>
    </xf>
    <xf numFmtId="0" fontId="7" fillId="0" borderId="0" xfId="0" applyFont="1" applyAlignment="1">
      <alignment vertical="center" wrapText="1"/>
    </xf>
    <xf numFmtId="0" fontId="7" fillId="0" borderId="0" xfId="0" applyFont="1" applyAlignment="1">
      <alignment horizontal="center" vertical="center" wrapText="1"/>
    </xf>
    <xf numFmtId="0" fontId="13" fillId="0" borderId="1" xfId="0" applyFont="1" applyBorder="1" applyAlignment="1">
      <alignment horizontal="justify" vertical="center" wrapText="1"/>
    </xf>
    <xf numFmtId="0" fontId="3" fillId="0" borderId="8" xfId="0" applyFont="1" applyBorder="1" applyAlignment="1">
      <alignment vertical="center" wrapText="1"/>
    </xf>
    <xf numFmtId="0" fontId="3" fillId="0" borderId="9" xfId="0" applyFont="1" applyBorder="1" applyAlignment="1">
      <alignment horizontal="center" vertical="center" wrapText="1"/>
    </xf>
    <xf numFmtId="0" fontId="14"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8"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11" xfId="0" applyBorder="1" applyAlignment="1"/>
    <xf numFmtId="0" fontId="0" fillId="0" borderId="12" xfId="0" applyBorder="1" applyAlignment="1"/>
    <xf numFmtId="0" fontId="18"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vertical="center"/>
    </xf>
    <xf numFmtId="0" fontId="16" fillId="0" borderId="1" xfId="0" applyFont="1" applyBorder="1" applyAlignment="1">
      <alignment horizontal="left"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justify" vertical="center" wrapText="1" indent="2"/>
    </xf>
    <xf numFmtId="0" fontId="16" fillId="0" borderId="8" xfId="0" applyFont="1" applyBorder="1" applyAlignment="1">
      <alignment horizontal="center" vertical="center" wrapText="1"/>
    </xf>
    <xf numFmtId="0" fontId="18" fillId="0" borderId="9" xfId="0" applyFont="1" applyBorder="1" applyAlignment="1">
      <alignment horizontal="center" vertical="center"/>
    </xf>
    <xf numFmtId="0" fontId="18" fillId="0" borderId="8" xfId="0" applyFont="1" applyBorder="1" applyAlignment="1">
      <alignment vertical="center" wrapText="1"/>
    </xf>
    <xf numFmtId="0" fontId="5" fillId="0" borderId="1" xfId="0" applyFont="1" applyBorder="1" applyAlignment="1">
      <alignment horizontal="center" vertical="center" wrapText="1"/>
    </xf>
    <xf numFmtId="0" fontId="16" fillId="0" borderId="1" xfId="0" applyFont="1" applyBorder="1" applyAlignment="1">
      <alignment horizontal="left" vertical="center" indent="2"/>
    </xf>
    <xf numFmtId="0" fontId="16" fillId="0" borderId="1" xfId="0" applyFont="1" applyBorder="1" applyAlignment="1">
      <alignment horizontal="left" vertical="center"/>
    </xf>
    <xf numFmtId="0" fontId="16" fillId="0" borderId="0" xfId="0" applyFont="1" applyAlignment="1">
      <alignment horizontal="justify" vertical="center" wrapText="1"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图表!$E$18:$E$27</c:f>
              <c:strCache>
                <c:ptCount val="10"/>
                <c:pt idx="0">
                  <c:v>逻辑思维</c:v>
                </c:pt>
                <c:pt idx="1">
                  <c:v>计划执行</c:v>
                </c:pt>
                <c:pt idx="2">
                  <c:v>数字应用</c:v>
                </c:pt>
                <c:pt idx="3">
                  <c:v>成就导向</c:v>
                </c:pt>
                <c:pt idx="4">
                  <c:v>持续学习</c:v>
                </c:pt>
                <c:pt idx="5">
                  <c:v>沟通表达</c:v>
                </c:pt>
                <c:pt idx="6">
                  <c:v>合作意识</c:v>
                </c:pt>
                <c:pt idx="7">
                  <c:v>求真务实</c:v>
                </c:pt>
                <c:pt idx="8">
                  <c:v>自律性</c:v>
                </c:pt>
                <c:pt idx="9">
                  <c:v>敬业奉献</c:v>
                </c:pt>
              </c:strCache>
            </c:strRef>
          </c:cat>
          <c:val>
            <c:numRef>
              <c:f>图表!$F$18:$F$27</c:f>
              <c:numCache>
                <c:formatCode>0.00_);[Red]\(0.00\)</c:formatCode>
                <c:ptCount val="10"/>
                <c:pt idx="0">
                  <c:v>68.75</c:v>
                </c:pt>
                <c:pt idx="1">
                  <c:v>62.5</c:v>
                </c:pt>
                <c:pt idx="2">
                  <c:v>81.25</c:v>
                </c:pt>
                <c:pt idx="3">
                  <c:v>50</c:v>
                </c:pt>
                <c:pt idx="4">
                  <c:v>75</c:v>
                </c:pt>
                <c:pt idx="5">
                  <c:v>56.25</c:v>
                </c:pt>
                <c:pt idx="6">
                  <c:v>62.5</c:v>
                </c:pt>
                <c:pt idx="7">
                  <c:v>78.25</c:v>
                </c:pt>
                <c:pt idx="8">
                  <c:v>78.25</c:v>
                </c:pt>
                <c:pt idx="9">
                  <c:v>68.75</c:v>
                </c:pt>
              </c:numCache>
            </c:numRef>
          </c:val>
        </c:ser>
        <c:dLbls>
          <c:showLegendKey val="0"/>
          <c:showVal val="1"/>
          <c:showCatName val="0"/>
          <c:showSerName val="0"/>
          <c:showPercent val="0"/>
          <c:showBubbleSize val="0"/>
        </c:dLbls>
        <c:gapWidth val="219"/>
        <c:overlap val="-27"/>
        <c:axId val="901371804"/>
        <c:axId val="889241005"/>
      </c:barChart>
      <c:lineChart>
        <c:grouping val="standard"/>
        <c:varyColors val="0"/>
        <c:ser>
          <c:idx val="1"/>
          <c:order val="1"/>
          <c:spPr>
            <a:ln w="28575" cap="rnd">
              <a:solidFill>
                <a:schemeClr val="accent2"/>
              </a:solidFill>
              <a:round/>
            </a:ln>
            <a:effectLst/>
          </c:spPr>
          <c:marker>
            <c:symbol val="none"/>
          </c:marker>
          <c:dLbls>
            <c:delete val="1"/>
          </c:dLbls>
          <c:cat>
            <c:strRef>
              <c:f>图表!$E$18:$E$27</c:f>
              <c:strCache>
                <c:ptCount val="10"/>
                <c:pt idx="0">
                  <c:v>逻辑思维</c:v>
                </c:pt>
                <c:pt idx="1">
                  <c:v>计划执行</c:v>
                </c:pt>
                <c:pt idx="2">
                  <c:v>数字应用</c:v>
                </c:pt>
                <c:pt idx="3">
                  <c:v>成就导向</c:v>
                </c:pt>
                <c:pt idx="4">
                  <c:v>持续学习</c:v>
                </c:pt>
                <c:pt idx="5">
                  <c:v>沟通表达</c:v>
                </c:pt>
                <c:pt idx="6">
                  <c:v>合作意识</c:v>
                </c:pt>
                <c:pt idx="7">
                  <c:v>求真务实</c:v>
                </c:pt>
                <c:pt idx="8">
                  <c:v>自律性</c:v>
                </c:pt>
                <c:pt idx="9">
                  <c:v>敬业奉献</c:v>
                </c:pt>
              </c:strCache>
            </c:strRef>
          </c:cat>
          <c:val>
            <c:numRef>
              <c:f>图表!$G$18:$G$27</c:f>
              <c:numCache>
                <c:formatCode>0.00_);[Red]\(0.00\)</c:formatCode>
                <c:ptCount val="10"/>
                <c:pt idx="0">
                  <c:v>55</c:v>
                </c:pt>
                <c:pt idx="1">
                  <c:v>65</c:v>
                </c:pt>
                <c:pt idx="2">
                  <c:v>60</c:v>
                </c:pt>
                <c:pt idx="3">
                  <c:v>55</c:v>
                </c:pt>
                <c:pt idx="4">
                  <c:v>55</c:v>
                </c:pt>
                <c:pt idx="5">
                  <c:v>52.5</c:v>
                </c:pt>
                <c:pt idx="6">
                  <c:v>55</c:v>
                </c:pt>
                <c:pt idx="7">
                  <c:v>57.5</c:v>
                </c:pt>
                <c:pt idx="8">
                  <c:v>62.5</c:v>
                </c:pt>
                <c:pt idx="9">
                  <c:v>60</c:v>
                </c:pt>
              </c:numCache>
            </c:numRef>
          </c:val>
          <c:smooth val="0"/>
        </c:ser>
        <c:dLbls>
          <c:showLegendKey val="0"/>
          <c:showVal val="1"/>
          <c:showCatName val="0"/>
          <c:showSerName val="0"/>
          <c:showPercent val="0"/>
          <c:showBubbleSize val="0"/>
        </c:dLbls>
        <c:marker val="0"/>
        <c:smooth val="0"/>
        <c:axId val="901371804"/>
        <c:axId val="889241005"/>
      </c:lineChart>
      <c:catAx>
        <c:axId val="9013718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889241005"/>
        <c:crosses val="autoZero"/>
        <c:auto val="1"/>
        <c:lblAlgn val="ctr"/>
        <c:lblOffset val="100"/>
        <c:noMultiLvlLbl val="0"/>
      </c:catAx>
      <c:valAx>
        <c:axId val="889241005"/>
        <c:scaling>
          <c:orientation val="minMax"/>
          <c:max val="100"/>
        </c:scaling>
        <c:delete val="0"/>
        <c:axPos val="l"/>
        <c:majorGridlines>
          <c:spPr>
            <a:ln w="9525" cap="flat" cmpd="sng" algn="ctr">
              <a:solidFill>
                <a:schemeClr val="lt1">
                  <a:lumMod val="90200"/>
                </a:schemeClr>
              </a:solidFill>
              <a:round/>
            </a:ln>
            <a:effectLst/>
          </c:spPr>
        </c:majorGridlines>
        <c:numFmt formatCode="0.00_);[Red]\(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01371804"/>
        <c:crosses val="autoZero"/>
        <c:crossBetween val="between"/>
      </c:valAx>
      <c:spPr>
        <a:noFill/>
        <a:ln>
          <a:noFill/>
        </a:ln>
        <a:effectLst/>
      </c:spPr>
    </c:plotArea>
    <c:legend>
      <c:legendPos val="b"/>
      <c:legendEntry>
        <c:idx val="0"/>
        <c:delete val="1"/>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manualLayout>
          <c:xMode val="edge"/>
          <c:yMode val="edge"/>
          <c:x val="0.832236842105263"/>
          <c:y val="0.0069444444444444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bbb6a775-b23e-4ff2-8586-c5cd73d999e4}"/>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77979444565933"/>
          <c:y val="0.0509259259259259"/>
          <c:w val="0.848458342444785"/>
          <c:h val="0.898148148148148"/>
        </c:manualLayout>
      </c:layout>
      <c:doughnut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elete val="1"/>
          </c:dLbls>
          <c:val>
            <c:numRef>
              <c:f>图表!$E$33:$F$33</c:f>
              <c:numCache>
                <c:formatCode>General</c:formatCode>
                <c:ptCount val="2"/>
                <c:pt idx="0">
                  <c:v>68.15</c:v>
                </c:pt>
                <c:pt idx="1">
                  <c:v>31.85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bedf84-f7cc-4204-85e3-7a17aee20593}"/>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1868421052632"/>
          <c:y val="0.0527777777777778"/>
          <c:w val="0.504868421052632"/>
          <c:h val="0.888194444444444"/>
        </c:manualLayout>
      </c:layout>
      <c:doughnutChart>
        <c:varyColors val="1"/>
        <c:ser>
          <c:idx val="0"/>
          <c:order val="0"/>
          <c:spPr>
            <a:solidFill>
              <a:schemeClr val="accent1"/>
            </a:solidFill>
            <a:ln>
              <a:solidFill>
                <a:schemeClr val="bg1"/>
              </a:solidFill>
            </a:ln>
            <a:effectLst>
              <a:outerShdw blurRad="63500" sx="102000" sy="102000" algn="ctr" rotWithShape="0">
                <a:schemeClr val="tx1">
                  <a:lumMod val="50000"/>
                  <a:lumOff val="50000"/>
                  <a:alpha val="40000"/>
                </a:schemeClr>
              </a:outerShdw>
            </a:effectLst>
          </c:spPr>
          <c:explosion val="0"/>
          <c:dPt>
            <c:idx val="0"/>
            <c:bubble3D val="0"/>
            <c:spPr>
              <a:solidFill>
                <a:srgbClr val="A4D663"/>
              </a:solidFill>
              <a:ln>
                <a:solidFill>
                  <a:schemeClr val="bg1"/>
                </a:solidFill>
              </a:ln>
              <a:effectLst>
                <a:outerShdw blurRad="63500" sx="102000" sy="102000" algn="ctr" rotWithShape="0">
                  <a:schemeClr val="tx1">
                    <a:lumMod val="50000"/>
                    <a:lumOff val="50000"/>
                    <a:alpha val="40000"/>
                  </a:schemeClr>
                </a:outerShdw>
              </a:effectLst>
            </c:spPr>
          </c:dPt>
          <c:dPt>
            <c:idx val="1"/>
            <c:bubble3D val="0"/>
            <c:spPr>
              <a:solidFill>
                <a:srgbClr val="FEE695"/>
              </a:solidFill>
              <a:ln>
                <a:solidFill>
                  <a:schemeClr val="bg1"/>
                </a:solidFill>
              </a:ln>
              <a:effectLst>
                <a:outerShdw blurRad="63500" sx="102000" sy="102000" algn="ctr" rotWithShape="0">
                  <a:schemeClr val="tx1">
                    <a:lumMod val="50000"/>
                    <a:lumOff val="50000"/>
                    <a:alpha val="40000"/>
                  </a:schemeClr>
                </a:outerShdw>
              </a:effectLst>
            </c:spPr>
          </c:dPt>
          <c:dLbls>
            <c:delete val="1"/>
          </c:dLbls>
          <c:val>
            <c:numRef>
              <c:f>图表!$D$60:$E$60</c:f>
              <c:numCache>
                <c:formatCode>0.00_);[Red]\(0.00\)</c:formatCode>
                <c:ptCount val="2"/>
                <c:pt idx="0">
                  <c:v>68.75</c:v>
                </c:pt>
                <c:pt idx="1">
                  <c:v>31.25</c:v>
                </c:pt>
              </c:numCache>
            </c:numRef>
          </c:val>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uri="{0b15fc19-7d7d-44ad-8c2d-2c3a37ce22c3}">
        <chartProps xmlns="https://web.wps.cn/et/2018/main" chartId="{f7724955-1237-4129-9f26-5efebf758bc7}"/>
      </c:ext>
    </c:extLst>
  </c:chart>
  <c:spPr>
    <a:solidFill>
      <a:schemeClr val="bg1"/>
    </a:solidFill>
    <a:ln w="6350">
      <a:noFill/>
    </a:ln>
    <a:effectLst>
      <a:outerShdw blurRad="63500" dist="37357" dir="2700000" sx="0" sy="0" rotWithShape="0">
        <a:scrgbClr r="0" g="0" b="0"/>
      </a:outerShdw>
    </a:effectLst>
  </c:spPr>
  <c:txPr>
    <a:bodyPr/>
    <a:lstStyle/>
    <a:p>
      <a:pPr>
        <a:defRPr lang="zh-CN">
          <a:solidFill>
            <a:schemeClr val="tx1">
              <a:lumMod val="75000"/>
              <a:lumOff val="25000"/>
            </a:schemeClr>
          </a:solidFill>
          <a:latin typeface="仿宋" panose="02010609060101010101" charset="-122"/>
          <a:ea typeface="仿宋" panose="02010609060101010101" charset="-122"/>
          <a:cs typeface="仿宋" panose="02010609060101010101" charset="-122"/>
          <a:sym typeface="仿宋"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171450</xdr:colOff>
      <xdr:row>7</xdr:row>
      <xdr:rowOff>69850</xdr:rowOff>
    </xdr:from>
    <xdr:to>
      <xdr:col>18</xdr:col>
      <xdr:colOff>356870</xdr:colOff>
      <xdr:row>23</xdr:row>
      <xdr:rowOff>69850</xdr:rowOff>
    </xdr:to>
    <xdr:graphicFrame>
      <xdr:nvGraphicFramePr>
        <xdr:cNvPr id="5" name="图表 4"/>
        <xdr:cNvGraphicFramePr/>
      </xdr:nvGraphicFramePr>
      <xdr:xfrm>
        <a:off x="8010525" y="1270000"/>
        <a:ext cx="567182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511175</xdr:colOff>
      <xdr:row>29</xdr:row>
      <xdr:rowOff>127000</xdr:rowOff>
    </xdr:from>
    <xdr:to>
      <xdr:col>10</xdr:col>
      <xdr:colOff>395605</xdr:colOff>
      <xdr:row>45</xdr:row>
      <xdr:rowOff>127000</xdr:rowOff>
    </xdr:to>
    <xdr:graphicFrame>
      <xdr:nvGraphicFramePr>
        <xdr:cNvPr id="6" name="图表 5"/>
        <xdr:cNvGraphicFramePr/>
      </xdr:nvGraphicFramePr>
      <xdr:xfrm>
        <a:off x="5330825" y="5099050"/>
        <a:ext cx="2903855"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47</xdr:row>
      <xdr:rowOff>95250</xdr:rowOff>
    </xdr:from>
    <xdr:to>
      <xdr:col>14</xdr:col>
      <xdr:colOff>63500</xdr:colOff>
      <xdr:row>63</xdr:row>
      <xdr:rowOff>95250</xdr:rowOff>
    </xdr:to>
    <xdr:graphicFrame>
      <xdr:nvGraphicFramePr>
        <xdr:cNvPr id="7" name="图表 6" descr="7b0a202020202263686172745265734964223a20223530303539353737220a7d0a"/>
        <xdr:cNvGraphicFramePr/>
      </xdr:nvGraphicFramePr>
      <xdr:xfrm>
        <a:off x="5819775" y="815340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商务风">
    <a:dk1>
      <a:srgbClr val="000000"/>
    </a:dk1>
    <a:lt1>
      <a:srgbClr val="FFFFFF"/>
    </a:lt1>
    <a:dk2>
      <a:srgbClr val="000000"/>
    </a:dk2>
    <a:lt2>
      <a:srgbClr val="F8F8F8"/>
    </a:lt2>
    <a:accent1>
      <a:srgbClr val="17223B"/>
    </a:accent1>
    <a:accent2>
      <a:srgbClr val="FF6768"/>
    </a:accent2>
    <a:accent3>
      <a:srgbClr val="6B778D"/>
    </a:accent3>
    <a:accent4>
      <a:srgbClr val="263859"/>
    </a:accent4>
    <a:accent5>
      <a:srgbClr val="D2A4B1"/>
    </a:accent5>
    <a:accent6>
      <a:srgbClr val="737373"/>
    </a:accent6>
    <a:hlink>
      <a:srgbClr val="5F5F5F"/>
    </a:hlink>
    <a:folHlink>
      <a:srgbClr val="919191"/>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3"/>
  <sheetViews>
    <sheetView topLeftCell="A71" workbookViewId="0">
      <selection activeCell="D91" sqref="D91"/>
    </sheetView>
  </sheetViews>
  <sheetFormatPr defaultColWidth="71.875" defaultRowHeight="20" customHeight="1"/>
  <cols>
    <col min="1" max="1" width="11.5" style="59" customWidth="1"/>
    <col min="2" max="2" width="9.375" style="60" customWidth="1"/>
    <col min="3" max="3" width="4.875" style="60" customWidth="1"/>
    <col min="4" max="4" width="72.625" style="59" customWidth="1"/>
    <col min="5" max="9" width="7" style="59" customWidth="1"/>
    <col min="10" max="10" width="16.625" style="60" customWidth="1"/>
    <col min="11" max="11" width="5.375" style="60" customWidth="1"/>
    <col min="12" max="12" width="17.25" style="59" customWidth="1"/>
    <col min="13" max="16384" width="71.875" style="59" customWidth="1"/>
  </cols>
  <sheetData>
    <row r="1" s="59" customFormat="1" ht="25.5" customHeight="1" spans="1:12">
      <c r="A1" s="61" t="s">
        <v>0</v>
      </c>
      <c r="K1" s="60"/>
    </row>
    <row r="2" s="59" customFormat="1" ht="14.25" customHeight="1" spans="1:12">
      <c r="A2" s="62" t="s">
        <v>1</v>
      </c>
      <c r="B2" s="62" t="s">
        <v>2</v>
      </c>
      <c r="C2" s="62" t="s">
        <v>3</v>
      </c>
      <c r="D2" s="63" t="s">
        <v>4</v>
      </c>
      <c r="E2" s="63" t="s">
        <v>5</v>
      </c>
      <c r="F2" s="64"/>
      <c r="G2" s="64"/>
      <c r="H2" s="64"/>
      <c r="I2" s="65"/>
      <c r="J2" s="62" t="s">
        <v>6</v>
      </c>
      <c r="L2" s="62" t="s">
        <v>7</v>
      </c>
    </row>
    <row r="3" s="59" customFormat="1" ht="32" customHeight="1" spans="1:12">
      <c r="A3" s="34"/>
      <c r="B3" s="34"/>
      <c r="C3" s="34"/>
      <c r="D3" s="28"/>
      <c r="E3" s="63" t="s">
        <v>8</v>
      </c>
      <c r="F3" s="63" t="s">
        <v>9</v>
      </c>
      <c r="G3" s="63" t="s">
        <v>10</v>
      </c>
      <c r="H3" s="63" t="s">
        <v>11</v>
      </c>
      <c r="I3" s="63" t="s">
        <v>12</v>
      </c>
      <c r="J3" s="34"/>
      <c r="K3" s="59"/>
      <c r="L3" s="34"/>
    </row>
    <row r="4" s="59" customFormat="1" ht="14.25" spans="1:12">
      <c r="A4" s="66" t="s">
        <v>13</v>
      </c>
      <c r="B4" s="67" t="s">
        <v>14</v>
      </c>
      <c r="C4" s="67">
        <v>1</v>
      </c>
      <c r="D4" s="68" t="s">
        <v>15</v>
      </c>
      <c r="E4" s="69"/>
      <c r="F4" s="70"/>
      <c r="G4" s="70"/>
      <c r="H4" s="70"/>
      <c r="I4" s="70"/>
      <c r="J4" s="67" t="s">
        <v>16</v>
      </c>
      <c r="K4" s="71"/>
      <c r="L4" s="67" t="s">
        <v>17</v>
      </c>
    </row>
    <row r="5" s="59" customFormat="1" ht="14.25" spans="1:12">
      <c r="A5" s="34"/>
      <c r="B5" s="34"/>
      <c r="C5" s="67">
        <v>2</v>
      </c>
      <c r="D5" s="68" t="s">
        <v>18</v>
      </c>
      <c r="E5" s="69"/>
      <c r="F5" s="70"/>
      <c r="G5" s="70"/>
      <c r="H5" s="70"/>
      <c r="I5" s="70"/>
      <c r="J5" s="67" t="s">
        <v>19</v>
      </c>
      <c r="K5" s="71"/>
      <c r="L5" s="67" t="s">
        <v>17</v>
      </c>
    </row>
    <row r="6" s="59" customFormat="1" ht="14.25" spans="1:12">
      <c r="A6" s="34"/>
      <c r="B6" s="34"/>
      <c r="C6" s="67">
        <v>3</v>
      </c>
      <c r="D6" s="68" t="s">
        <v>20</v>
      </c>
      <c r="E6" s="69"/>
      <c r="F6" s="70"/>
      <c r="G6" s="70"/>
      <c r="H6" s="70"/>
      <c r="I6" s="70"/>
      <c r="J6" s="67" t="s">
        <v>21</v>
      </c>
      <c r="K6" s="71"/>
      <c r="L6" s="67" t="s">
        <v>17</v>
      </c>
    </row>
    <row r="7" s="59" customFormat="1" ht="14.25" spans="1:12">
      <c r="A7" s="34"/>
      <c r="B7" s="34"/>
      <c r="C7" s="67">
        <v>4</v>
      </c>
      <c r="D7" s="68" t="s">
        <v>22</v>
      </c>
      <c r="E7" s="69"/>
      <c r="F7" s="70"/>
      <c r="G7" s="70"/>
      <c r="H7" s="70"/>
      <c r="I7" s="70"/>
      <c r="J7" s="67" t="s">
        <v>23</v>
      </c>
      <c r="K7" s="71"/>
      <c r="L7" s="67" t="s">
        <v>17</v>
      </c>
    </row>
    <row r="8" s="59" customFormat="1" ht="14.25" spans="1:12">
      <c r="A8" s="34"/>
      <c r="B8" s="34"/>
      <c r="C8" s="67">
        <v>5</v>
      </c>
      <c r="D8" s="68" t="s">
        <v>24</v>
      </c>
      <c r="E8" s="69"/>
      <c r="F8" s="70"/>
      <c r="G8" s="70"/>
      <c r="H8" s="70"/>
      <c r="I8" s="70"/>
      <c r="J8" s="67" t="s">
        <v>25</v>
      </c>
      <c r="K8" s="71"/>
      <c r="L8" s="67" t="s">
        <v>17</v>
      </c>
    </row>
    <row r="9" s="59" customFormat="1" ht="14.25" spans="1:12">
      <c r="A9" s="34"/>
      <c r="B9" s="34"/>
      <c r="C9" s="67">
        <v>6</v>
      </c>
      <c r="D9" s="68" t="s">
        <v>26</v>
      </c>
      <c r="E9" s="69"/>
      <c r="F9" s="68"/>
      <c r="G9" s="68"/>
      <c r="H9" s="68"/>
      <c r="I9" s="68"/>
      <c r="J9" s="67" t="s">
        <v>27</v>
      </c>
      <c r="K9" s="71"/>
      <c r="L9" s="67" t="s">
        <v>17</v>
      </c>
    </row>
    <row r="10" s="59" customFormat="1" ht="14.25" spans="1:12">
      <c r="A10" s="34"/>
      <c r="B10" s="34"/>
      <c r="C10" s="67">
        <v>7</v>
      </c>
      <c r="D10" s="69" t="s">
        <v>28</v>
      </c>
      <c r="E10" s="69"/>
      <c r="F10" s="68"/>
      <c r="G10" s="68"/>
      <c r="H10" s="68"/>
      <c r="I10" s="68"/>
      <c r="J10" s="67" t="s">
        <v>29</v>
      </c>
      <c r="K10" s="71" t="s">
        <v>30</v>
      </c>
      <c r="L10" s="67" t="s">
        <v>17</v>
      </c>
    </row>
    <row r="11" s="59" customFormat="1" ht="14.25" spans="1:12">
      <c r="A11" s="34"/>
      <c r="B11" s="28"/>
      <c r="C11" s="67">
        <v>8</v>
      </c>
      <c r="D11" s="68" t="s">
        <v>31</v>
      </c>
      <c r="E11" s="69"/>
      <c r="F11" s="68"/>
      <c r="G11" s="68"/>
      <c r="H11" s="68"/>
      <c r="I11" s="68"/>
      <c r="J11" s="67" t="s">
        <v>32</v>
      </c>
      <c r="K11" s="71" t="s">
        <v>30</v>
      </c>
      <c r="L11" s="67" t="s">
        <v>17</v>
      </c>
    </row>
    <row r="12" s="59" customFormat="1" ht="14.25" spans="1:12">
      <c r="A12" s="34"/>
      <c r="B12" s="67" t="s">
        <v>33</v>
      </c>
      <c r="C12" s="67">
        <v>1</v>
      </c>
      <c r="D12" s="70" t="s">
        <v>34</v>
      </c>
      <c r="E12" s="69"/>
      <c r="F12" s="70"/>
      <c r="G12" s="70"/>
      <c r="H12" s="70"/>
      <c r="I12" s="70"/>
      <c r="J12" s="67" t="s">
        <v>35</v>
      </c>
      <c r="K12" s="71"/>
      <c r="L12" s="67" t="s">
        <v>17</v>
      </c>
    </row>
    <row r="13" s="59" customFormat="1" ht="14.25" spans="1:12">
      <c r="A13" s="34"/>
      <c r="B13" s="34"/>
      <c r="C13" s="67">
        <v>2</v>
      </c>
      <c r="D13" s="70" t="s">
        <v>36</v>
      </c>
      <c r="E13" s="69"/>
      <c r="F13" s="70"/>
      <c r="G13" s="70"/>
      <c r="H13" s="70"/>
      <c r="I13" s="70"/>
      <c r="J13" s="67" t="s">
        <v>37</v>
      </c>
      <c r="K13" s="71"/>
      <c r="L13" s="67" t="s">
        <v>17</v>
      </c>
    </row>
    <row r="14" s="59" customFormat="1" ht="14.25" spans="1:12">
      <c r="A14" s="34"/>
      <c r="B14" s="34"/>
      <c r="C14" s="67">
        <v>3</v>
      </c>
      <c r="D14" s="70" t="s">
        <v>38</v>
      </c>
      <c r="E14" s="69"/>
      <c r="F14" s="70"/>
      <c r="G14" s="70"/>
      <c r="H14" s="70"/>
      <c r="I14" s="70"/>
      <c r="J14" s="67" t="s">
        <v>39</v>
      </c>
      <c r="K14" s="71"/>
      <c r="L14" s="67" t="s">
        <v>17</v>
      </c>
    </row>
    <row r="15" s="59" customFormat="1" ht="14.25" spans="1:12">
      <c r="A15" s="34"/>
      <c r="B15" s="34"/>
      <c r="C15" s="67">
        <v>4</v>
      </c>
      <c r="D15" s="68" t="s">
        <v>40</v>
      </c>
      <c r="E15" s="69"/>
      <c r="F15" s="70"/>
      <c r="G15" s="70"/>
      <c r="H15" s="70"/>
      <c r="I15" s="70"/>
      <c r="J15" s="67" t="s">
        <v>41</v>
      </c>
      <c r="K15" s="71"/>
      <c r="L15" s="67" t="s">
        <v>17</v>
      </c>
    </row>
    <row r="16" s="59" customFormat="1" ht="14.25" spans="1:12">
      <c r="A16" s="34"/>
      <c r="B16" s="34"/>
      <c r="C16" s="67">
        <v>5</v>
      </c>
      <c r="D16" s="68" t="s">
        <v>42</v>
      </c>
      <c r="E16" s="69"/>
      <c r="F16" s="70"/>
      <c r="G16" s="70"/>
      <c r="H16" s="70"/>
      <c r="I16" s="70"/>
      <c r="J16" s="67" t="s">
        <v>43</v>
      </c>
      <c r="K16" s="71"/>
      <c r="L16" s="67" t="s">
        <v>17</v>
      </c>
    </row>
    <row r="17" s="59" customFormat="1" ht="14.25" spans="1:12">
      <c r="A17" s="34"/>
      <c r="B17" s="34"/>
      <c r="C17" s="67">
        <v>6</v>
      </c>
      <c r="D17" s="70" t="s">
        <v>44</v>
      </c>
      <c r="E17" s="69"/>
      <c r="F17" s="70"/>
      <c r="G17" s="70"/>
      <c r="H17" s="70"/>
      <c r="I17" s="70"/>
      <c r="J17" s="67" t="s">
        <v>45</v>
      </c>
      <c r="K17" s="71"/>
      <c r="L17" s="67" t="s">
        <v>17</v>
      </c>
    </row>
    <row r="18" s="59" customFormat="1" ht="14.25" spans="1:12">
      <c r="A18" s="34"/>
      <c r="B18" s="34"/>
      <c r="C18" s="67">
        <v>7</v>
      </c>
      <c r="D18" s="68" t="s">
        <v>46</v>
      </c>
      <c r="E18" s="69"/>
      <c r="F18" s="68"/>
      <c r="G18" s="68"/>
      <c r="H18" s="68"/>
      <c r="I18" s="68"/>
      <c r="J18" s="67" t="s">
        <v>47</v>
      </c>
      <c r="K18" s="71" t="s">
        <v>30</v>
      </c>
      <c r="L18" s="67" t="s">
        <v>17</v>
      </c>
    </row>
    <row r="19" s="59" customFormat="1" ht="14.25" spans="1:12">
      <c r="A19" s="34"/>
      <c r="B19" s="28"/>
      <c r="C19" s="67">
        <v>8</v>
      </c>
      <c r="D19" s="68" t="s">
        <v>48</v>
      </c>
      <c r="E19" s="69"/>
      <c r="F19" s="68"/>
      <c r="G19" s="68"/>
      <c r="H19" s="68"/>
      <c r="I19" s="68"/>
      <c r="J19" s="67" t="s">
        <v>49</v>
      </c>
      <c r="K19" s="71" t="s">
        <v>30</v>
      </c>
      <c r="L19" s="67" t="s">
        <v>17</v>
      </c>
    </row>
    <row r="20" s="59" customFormat="1" ht="14.25" spans="1:12">
      <c r="A20" s="34"/>
      <c r="B20" s="67" t="s">
        <v>50</v>
      </c>
      <c r="C20" s="67">
        <v>1</v>
      </c>
      <c r="D20" s="70" t="s">
        <v>51</v>
      </c>
      <c r="E20" s="69"/>
      <c r="F20" s="70"/>
      <c r="G20" s="70"/>
      <c r="H20" s="70"/>
      <c r="I20" s="70"/>
      <c r="J20" s="67" t="s">
        <v>52</v>
      </c>
      <c r="K20" s="71"/>
      <c r="L20" s="67" t="s">
        <v>17</v>
      </c>
    </row>
    <row r="21" s="59" customFormat="1" ht="14.25" spans="1:12">
      <c r="A21" s="34"/>
      <c r="B21" s="34"/>
      <c r="C21" s="67">
        <v>2</v>
      </c>
      <c r="D21" s="68" t="s">
        <v>53</v>
      </c>
      <c r="E21" s="69"/>
      <c r="F21" s="70"/>
      <c r="G21" s="70"/>
      <c r="H21" s="70"/>
      <c r="I21" s="70"/>
      <c r="J21" s="67" t="s">
        <v>54</v>
      </c>
      <c r="K21" s="71"/>
      <c r="L21" s="67" t="s">
        <v>17</v>
      </c>
    </row>
    <row r="22" s="59" customFormat="1" ht="14.25" spans="1:12">
      <c r="A22" s="34"/>
      <c r="B22" s="34"/>
      <c r="C22" s="67">
        <v>3</v>
      </c>
      <c r="D22" s="68" t="s">
        <v>55</v>
      </c>
      <c r="E22" s="69"/>
      <c r="F22" s="70"/>
      <c r="G22" s="70"/>
      <c r="H22" s="70"/>
      <c r="I22" s="70"/>
      <c r="J22" s="67" t="s">
        <v>56</v>
      </c>
      <c r="K22" s="71"/>
      <c r="L22" s="67" t="s">
        <v>17</v>
      </c>
    </row>
    <row r="23" s="59" customFormat="1" ht="14.25" spans="1:12">
      <c r="A23" s="34"/>
      <c r="B23" s="34"/>
      <c r="C23" s="67">
        <v>4</v>
      </c>
      <c r="D23" s="70" t="s">
        <v>57</v>
      </c>
      <c r="E23" s="69"/>
      <c r="F23" s="70"/>
      <c r="G23" s="70"/>
      <c r="H23" s="70"/>
      <c r="I23" s="70"/>
      <c r="J23" s="67" t="s">
        <v>58</v>
      </c>
      <c r="K23" s="71"/>
      <c r="L23" s="67" t="s">
        <v>17</v>
      </c>
    </row>
    <row r="24" s="59" customFormat="1" ht="14.25" spans="1:12">
      <c r="A24" s="34"/>
      <c r="B24" s="34"/>
      <c r="C24" s="67">
        <v>5</v>
      </c>
      <c r="D24" s="70" t="s">
        <v>59</v>
      </c>
      <c r="E24" s="69"/>
      <c r="F24" s="70"/>
      <c r="G24" s="70"/>
      <c r="H24" s="70"/>
      <c r="I24" s="70"/>
      <c r="J24" s="67" t="s">
        <v>60</v>
      </c>
      <c r="K24" s="71"/>
      <c r="L24" s="67" t="s">
        <v>17</v>
      </c>
    </row>
    <row r="25" s="59" customFormat="1" ht="14.25" spans="1:12">
      <c r="A25" s="34"/>
      <c r="B25" s="34"/>
      <c r="C25" s="67">
        <v>6</v>
      </c>
      <c r="D25" s="68" t="s">
        <v>61</v>
      </c>
      <c r="E25" s="69"/>
      <c r="F25" s="69"/>
      <c r="G25" s="69"/>
      <c r="H25" s="69"/>
      <c r="I25" s="69"/>
      <c r="J25" s="67" t="s">
        <v>62</v>
      </c>
      <c r="K25" s="71"/>
      <c r="L25" s="67" t="s">
        <v>17</v>
      </c>
    </row>
    <row r="26" s="59" customFormat="1" ht="14.25" spans="1:12">
      <c r="A26" s="34"/>
      <c r="B26" s="34"/>
      <c r="C26" s="67">
        <v>7</v>
      </c>
      <c r="D26" s="70" t="s">
        <v>63</v>
      </c>
      <c r="E26" s="69"/>
      <c r="F26" s="70"/>
      <c r="G26" s="70"/>
      <c r="H26" s="70"/>
      <c r="I26" s="70"/>
      <c r="J26" s="67" t="s">
        <v>64</v>
      </c>
      <c r="K26" s="71" t="s">
        <v>30</v>
      </c>
      <c r="L26" s="67" t="s">
        <v>17</v>
      </c>
    </row>
    <row r="27" s="59" customFormat="1" ht="14.25" spans="1:12">
      <c r="A27" s="34"/>
      <c r="B27" s="28"/>
      <c r="C27" s="67">
        <v>8</v>
      </c>
      <c r="D27" s="68" t="s">
        <v>65</v>
      </c>
      <c r="E27" s="69"/>
      <c r="F27" s="68"/>
      <c r="G27" s="68"/>
      <c r="H27" s="68"/>
      <c r="I27" s="68"/>
      <c r="J27" s="67" t="s">
        <v>66</v>
      </c>
      <c r="K27" s="71" t="s">
        <v>30</v>
      </c>
      <c r="L27" s="67" t="s">
        <v>17</v>
      </c>
    </row>
    <row r="28" s="59" customFormat="1" ht="14.25" spans="1:12">
      <c r="A28" s="34"/>
      <c r="B28" s="67" t="s">
        <v>67</v>
      </c>
      <c r="C28" s="72">
        <v>1</v>
      </c>
      <c r="D28" s="73" t="s">
        <v>68</v>
      </c>
      <c r="E28" s="69"/>
      <c r="F28" s="69"/>
      <c r="G28" s="69"/>
      <c r="H28" s="69"/>
      <c r="I28" s="67"/>
      <c r="J28" s="67" t="s">
        <v>69</v>
      </c>
      <c r="K28" s="60"/>
      <c r="L28" s="67" t="s">
        <v>17</v>
      </c>
    </row>
    <row r="29" s="59" customFormat="1" ht="14.25" spans="1:12">
      <c r="A29" s="34"/>
      <c r="B29" s="34"/>
      <c r="C29" s="72">
        <v>2</v>
      </c>
      <c r="D29" s="73" t="s">
        <v>70</v>
      </c>
      <c r="E29" s="69"/>
      <c r="F29" s="69"/>
      <c r="G29" s="69"/>
      <c r="H29" s="69"/>
      <c r="I29" s="67"/>
      <c r="J29" s="67" t="s">
        <v>71</v>
      </c>
      <c r="K29" s="60"/>
      <c r="L29" s="67" t="s">
        <v>17</v>
      </c>
    </row>
    <row r="30" s="59" customFormat="1" ht="14.25" spans="1:12">
      <c r="A30" s="34"/>
      <c r="B30" s="34"/>
      <c r="C30" s="72">
        <v>3</v>
      </c>
      <c r="D30" s="73" t="s">
        <v>72</v>
      </c>
      <c r="E30" s="69"/>
      <c r="F30" s="69"/>
      <c r="G30" s="69"/>
      <c r="H30" s="69"/>
      <c r="I30" s="67"/>
      <c r="J30" s="67" t="s">
        <v>73</v>
      </c>
      <c r="K30" s="60"/>
      <c r="L30" s="67" t="s">
        <v>17</v>
      </c>
    </row>
    <row r="31" s="59" customFormat="1" ht="14.25" spans="1:12">
      <c r="A31" s="34"/>
      <c r="B31" s="34"/>
      <c r="C31" s="72">
        <v>4</v>
      </c>
      <c r="D31" s="73" t="s">
        <v>74</v>
      </c>
      <c r="E31" s="69"/>
      <c r="F31" s="69"/>
      <c r="G31" s="69"/>
      <c r="H31" s="69"/>
      <c r="I31" s="67"/>
      <c r="J31" s="67" t="s">
        <v>75</v>
      </c>
      <c r="K31" s="60"/>
      <c r="L31" s="67" t="s">
        <v>17</v>
      </c>
    </row>
    <row r="32" s="59" customFormat="1" ht="14.25" spans="1:12">
      <c r="A32" s="34"/>
      <c r="B32" s="34"/>
      <c r="C32" s="72">
        <v>5</v>
      </c>
      <c r="D32" s="73" t="s">
        <v>76</v>
      </c>
      <c r="E32" s="69"/>
      <c r="F32" s="69"/>
      <c r="G32" s="69"/>
      <c r="H32" s="69"/>
      <c r="I32" s="67"/>
      <c r="J32" s="67" t="s">
        <v>77</v>
      </c>
      <c r="K32" s="60"/>
      <c r="L32" s="67" t="s">
        <v>17</v>
      </c>
    </row>
    <row r="33" s="59" customFormat="1" ht="14.25" spans="1:12">
      <c r="A33" s="34"/>
      <c r="B33" s="34"/>
      <c r="C33" s="72">
        <v>6</v>
      </c>
      <c r="D33" s="73" t="s">
        <v>78</v>
      </c>
      <c r="E33" s="69"/>
      <c r="F33" s="69"/>
      <c r="G33" s="69"/>
      <c r="H33" s="69"/>
      <c r="I33" s="67"/>
      <c r="J33" s="67" t="s">
        <v>79</v>
      </c>
      <c r="K33" s="60"/>
      <c r="L33" s="67" t="s">
        <v>17</v>
      </c>
    </row>
    <row r="34" s="59" customFormat="1" ht="14.25" spans="1:12">
      <c r="A34" s="34"/>
      <c r="B34" s="34"/>
      <c r="C34" s="72">
        <v>7</v>
      </c>
      <c r="D34" s="73" t="s">
        <v>80</v>
      </c>
      <c r="E34" s="69"/>
      <c r="F34" s="69"/>
      <c r="G34" s="69"/>
      <c r="H34" s="69"/>
      <c r="I34" s="67"/>
      <c r="J34" s="67" t="s">
        <v>81</v>
      </c>
      <c r="K34" s="60"/>
      <c r="L34" s="67" t="s">
        <v>17</v>
      </c>
    </row>
    <row r="35" s="59" customFormat="1" ht="14.25" spans="1:12">
      <c r="A35" s="34"/>
      <c r="B35" s="28"/>
      <c r="C35" s="72">
        <v>8</v>
      </c>
      <c r="D35" s="73" t="s">
        <v>82</v>
      </c>
      <c r="E35" s="69"/>
      <c r="F35" s="69"/>
      <c r="G35" s="69"/>
      <c r="H35" s="69"/>
      <c r="I35" s="67"/>
      <c r="J35" s="67" t="s">
        <v>83</v>
      </c>
      <c r="K35" s="60"/>
      <c r="L35" s="67" t="s">
        <v>17</v>
      </c>
    </row>
    <row r="36" s="59" customFormat="1" ht="14.25" spans="1:12">
      <c r="A36" s="34"/>
      <c r="B36" s="67" t="s">
        <v>84</v>
      </c>
      <c r="C36" s="67">
        <v>1</v>
      </c>
      <c r="D36" s="68" t="s">
        <v>85</v>
      </c>
      <c r="E36" s="69"/>
      <c r="F36" s="70"/>
      <c r="G36" s="70"/>
      <c r="H36" s="70"/>
      <c r="I36" s="70"/>
      <c r="J36" s="67" t="s">
        <v>86</v>
      </c>
      <c r="K36" s="71"/>
      <c r="L36" s="67" t="s">
        <v>17</v>
      </c>
    </row>
    <row r="37" s="59" customFormat="1" ht="14.25" spans="1:12">
      <c r="A37" s="34"/>
      <c r="B37" s="34"/>
      <c r="C37" s="67">
        <v>2</v>
      </c>
      <c r="D37" s="68" t="s">
        <v>87</v>
      </c>
      <c r="E37" s="69"/>
      <c r="F37" s="70"/>
      <c r="G37" s="70"/>
      <c r="H37" s="70"/>
      <c r="I37" s="70"/>
      <c r="J37" s="67" t="s">
        <v>88</v>
      </c>
      <c r="K37" s="71"/>
      <c r="L37" s="67" t="s">
        <v>17</v>
      </c>
    </row>
    <row r="38" s="59" customFormat="1" ht="14.25" spans="1:12">
      <c r="A38" s="34"/>
      <c r="B38" s="34"/>
      <c r="C38" s="67">
        <v>3</v>
      </c>
      <c r="D38" s="68" t="s">
        <v>89</v>
      </c>
      <c r="E38" s="69"/>
      <c r="F38" s="70"/>
      <c r="G38" s="70"/>
      <c r="H38" s="70"/>
      <c r="I38" s="70"/>
      <c r="J38" s="67" t="s">
        <v>90</v>
      </c>
      <c r="K38" s="71"/>
      <c r="L38" s="67" t="s">
        <v>17</v>
      </c>
    </row>
    <row r="39" s="59" customFormat="1" ht="14.25" spans="1:12">
      <c r="A39" s="34"/>
      <c r="B39" s="34"/>
      <c r="C39" s="67">
        <v>4</v>
      </c>
      <c r="D39" s="68" t="s">
        <v>91</v>
      </c>
      <c r="E39" s="69"/>
      <c r="F39" s="70"/>
      <c r="G39" s="70"/>
      <c r="H39" s="70"/>
      <c r="I39" s="70"/>
      <c r="J39" s="67" t="s">
        <v>92</v>
      </c>
      <c r="K39" s="71"/>
      <c r="L39" s="67" t="s">
        <v>17</v>
      </c>
    </row>
    <row r="40" s="59" customFormat="1" ht="14.25" spans="1:12">
      <c r="A40" s="34"/>
      <c r="B40" s="34"/>
      <c r="C40" s="67">
        <v>5</v>
      </c>
      <c r="D40" s="70" t="s">
        <v>93</v>
      </c>
      <c r="E40" s="69"/>
      <c r="F40" s="70"/>
      <c r="G40" s="70"/>
      <c r="H40" s="70"/>
      <c r="I40" s="70"/>
      <c r="J40" s="67" t="s">
        <v>94</v>
      </c>
      <c r="K40" s="71"/>
      <c r="L40" s="67" t="s">
        <v>17</v>
      </c>
    </row>
    <row r="41" s="59" customFormat="1" ht="14.25" spans="1:12">
      <c r="A41" s="34"/>
      <c r="B41" s="34"/>
      <c r="C41" s="67">
        <v>6</v>
      </c>
      <c r="D41" s="68" t="s">
        <v>95</v>
      </c>
      <c r="E41" s="69"/>
      <c r="F41" s="70"/>
      <c r="G41" s="70"/>
      <c r="H41" s="70"/>
      <c r="I41" s="70"/>
      <c r="J41" s="67" t="s">
        <v>96</v>
      </c>
      <c r="K41" s="71"/>
      <c r="L41" s="67" t="s">
        <v>17</v>
      </c>
    </row>
    <row r="42" s="59" customFormat="1" ht="14.25" spans="1:12">
      <c r="A42" s="34"/>
      <c r="B42" s="34"/>
      <c r="C42" s="67">
        <v>7</v>
      </c>
      <c r="D42" s="68" t="s">
        <v>97</v>
      </c>
      <c r="E42" s="69"/>
      <c r="F42" s="70"/>
      <c r="G42" s="70"/>
      <c r="H42" s="70"/>
      <c r="I42" s="70"/>
      <c r="J42" s="67" t="s">
        <v>98</v>
      </c>
      <c r="K42" s="71" t="s">
        <v>30</v>
      </c>
      <c r="L42" s="67" t="s">
        <v>17</v>
      </c>
    </row>
    <row r="43" s="59" customFormat="1" ht="14.25" spans="1:12">
      <c r="A43" s="28"/>
      <c r="B43" s="28"/>
      <c r="C43" s="67">
        <v>8</v>
      </c>
      <c r="D43" s="68" t="s">
        <v>99</v>
      </c>
      <c r="E43" s="69"/>
      <c r="F43" s="68"/>
      <c r="G43" s="68"/>
      <c r="H43" s="68"/>
      <c r="I43" s="68"/>
      <c r="J43" s="67" t="s">
        <v>100</v>
      </c>
      <c r="K43" s="71" t="s">
        <v>30</v>
      </c>
      <c r="L43" s="67" t="s">
        <v>17</v>
      </c>
    </row>
    <row r="44" s="59" customFormat="1" ht="14.25" spans="1:12">
      <c r="A44" s="66" t="s">
        <v>101</v>
      </c>
      <c r="B44" s="67" t="s">
        <v>102</v>
      </c>
      <c r="C44" s="67">
        <v>1</v>
      </c>
      <c r="D44" s="70" t="s">
        <v>103</v>
      </c>
      <c r="E44" s="69"/>
      <c r="F44" s="70"/>
      <c r="G44" s="70"/>
      <c r="H44" s="70"/>
      <c r="I44" s="70"/>
      <c r="J44" s="67" t="s">
        <v>104</v>
      </c>
      <c r="K44" s="71"/>
      <c r="L44" s="67" t="s">
        <v>17</v>
      </c>
    </row>
    <row r="45" s="59" customFormat="1" ht="14.25" spans="1:12">
      <c r="A45" s="34"/>
      <c r="B45" s="34"/>
      <c r="C45" s="67">
        <v>2</v>
      </c>
      <c r="D45" s="70" t="s">
        <v>105</v>
      </c>
      <c r="E45" s="69"/>
      <c r="F45" s="70"/>
      <c r="G45" s="70"/>
      <c r="H45" s="70"/>
      <c r="I45" s="70"/>
      <c r="J45" s="67" t="s">
        <v>106</v>
      </c>
      <c r="K45" s="71"/>
      <c r="L45" s="67" t="s">
        <v>17</v>
      </c>
    </row>
    <row r="46" s="59" customFormat="1" ht="14.25" spans="1:12">
      <c r="A46" s="34"/>
      <c r="B46" s="34"/>
      <c r="C46" s="67">
        <v>3</v>
      </c>
      <c r="D46" s="68" t="s">
        <v>107</v>
      </c>
      <c r="E46" s="69"/>
      <c r="F46" s="70"/>
      <c r="G46" s="70"/>
      <c r="H46" s="70"/>
      <c r="I46" s="70"/>
      <c r="J46" s="67" t="s">
        <v>108</v>
      </c>
      <c r="K46" s="71"/>
      <c r="L46" s="67" t="s">
        <v>17</v>
      </c>
    </row>
    <row r="47" s="59" customFormat="1" ht="14.25" spans="1:12">
      <c r="A47" s="34"/>
      <c r="B47" s="34"/>
      <c r="C47" s="67">
        <v>4</v>
      </c>
      <c r="D47" s="68" t="s">
        <v>109</v>
      </c>
      <c r="E47" s="69"/>
      <c r="F47" s="70"/>
      <c r="G47" s="70"/>
      <c r="H47" s="70"/>
      <c r="I47" s="70"/>
      <c r="J47" s="67" t="s">
        <v>110</v>
      </c>
      <c r="K47" s="71"/>
      <c r="L47" s="67" t="s">
        <v>17</v>
      </c>
    </row>
    <row r="48" s="59" customFormat="1" ht="14.25" spans="1:12">
      <c r="A48" s="34"/>
      <c r="B48" s="34"/>
      <c r="C48" s="67">
        <v>5</v>
      </c>
      <c r="D48" s="68" t="s">
        <v>111</v>
      </c>
      <c r="E48" s="69"/>
      <c r="F48" s="70"/>
      <c r="G48" s="70"/>
      <c r="H48" s="70"/>
      <c r="I48" s="70"/>
      <c r="J48" s="67" t="s">
        <v>112</v>
      </c>
      <c r="K48" s="71"/>
      <c r="L48" s="67" t="s">
        <v>17</v>
      </c>
    </row>
    <row r="49" s="59" customFormat="1" ht="14.25" spans="1:12">
      <c r="A49" s="34"/>
      <c r="B49" s="34"/>
      <c r="C49" s="67">
        <v>6</v>
      </c>
      <c r="D49" s="68" t="s">
        <v>113</v>
      </c>
      <c r="E49" s="69"/>
      <c r="F49" s="70"/>
      <c r="G49" s="70"/>
      <c r="H49" s="70"/>
      <c r="I49" s="70"/>
      <c r="J49" s="67" t="s">
        <v>114</v>
      </c>
      <c r="K49" s="71"/>
      <c r="L49" s="67" t="s">
        <v>17</v>
      </c>
    </row>
    <row r="50" s="59" customFormat="1" ht="14.25" spans="1:12">
      <c r="A50" s="34"/>
      <c r="B50" s="34"/>
      <c r="C50" s="67">
        <v>7</v>
      </c>
      <c r="D50" s="68" t="s">
        <v>115</v>
      </c>
      <c r="E50" s="69"/>
      <c r="F50" s="68"/>
      <c r="G50" s="68"/>
      <c r="H50" s="68"/>
      <c r="I50" s="68"/>
      <c r="J50" s="67" t="s">
        <v>116</v>
      </c>
      <c r="K50" s="71" t="s">
        <v>30</v>
      </c>
      <c r="L50" s="67" t="s">
        <v>17</v>
      </c>
    </row>
    <row r="51" s="59" customFormat="1" ht="14.25" spans="1:12">
      <c r="A51" s="34"/>
      <c r="B51" s="28"/>
      <c r="C51" s="67">
        <v>8</v>
      </c>
      <c r="D51" s="68" t="s">
        <v>117</v>
      </c>
      <c r="E51" s="69"/>
      <c r="F51" s="68"/>
      <c r="G51" s="68"/>
      <c r="H51" s="68"/>
      <c r="I51" s="68"/>
      <c r="J51" s="67" t="s">
        <v>118</v>
      </c>
      <c r="K51" s="71" t="s">
        <v>30</v>
      </c>
      <c r="L51" s="67" t="s">
        <v>17</v>
      </c>
    </row>
    <row r="52" s="59" customFormat="1" ht="14.25" spans="1:12">
      <c r="A52" s="34"/>
      <c r="B52" s="67" t="s">
        <v>119</v>
      </c>
      <c r="C52" s="72">
        <v>1</v>
      </c>
      <c r="D52" s="73" t="s">
        <v>120</v>
      </c>
      <c r="E52" s="69"/>
      <c r="F52" s="69"/>
      <c r="G52" s="69"/>
      <c r="H52" s="69"/>
      <c r="I52" s="67"/>
      <c r="J52" s="67" t="s">
        <v>121</v>
      </c>
      <c r="K52" s="60"/>
      <c r="L52" s="67" t="s">
        <v>17</v>
      </c>
    </row>
    <row r="53" s="59" customFormat="1" ht="14.25" spans="1:12">
      <c r="A53" s="34"/>
      <c r="B53" s="34"/>
      <c r="C53" s="72">
        <v>2</v>
      </c>
      <c r="D53" s="73" t="s">
        <v>122</v>
      </c>
      <c r="E53" s="69"/>
      <c r="F53" s="69"/>
      <c r="G53" s="69"/>
      <c r="H53" s="69"/>
      <c r="I53" s="67"/>
      <c r="J53" s="67" t="s">
        <v>123</v>
      </c>
      <c r="K53" s="60"/>
      <c r="L53" s="67" t="s">
        <v>17</v>
      </c>
    </row>
    <row r="54" s="59" customFormat="1" ht="14.25" spans="1:12">
      <c r="A54" s="34"/>
      <c r="B54" s="34"/>
      <c r="C54" s="72">
        <v>3</v>
      </c>
      <c r="D54" s="73" t="s">
        <v>124</v>
      </c>
      <c r="E54" s="69"/>
      <c r="F54" s="69"/>
      <c r="G54" s="69"/>
      <c r="H54" s="69"/>
      <c r="I54" s="67"/>
      <c r="J54" s="67" t="s">
        <v>125</v>
      </c>
      <c r="K54" s="60"/>
      <c r="L54" s="67" t="s">
        <v>17</v>
      </c>
    </row>
    <row r="55" s="59" customFormat="1" ht="14.25" spans="1:12">
      <c r="A55" s="34"/>
      <c r="B55" s="34"/>
      <c r="C55" s="72">
        <v>4</v>
      </c>
      <c r="D55" s="73" t="s">
        <v>126</v>
      </c>
      <c r="E55" s="69"/>
      <c r="F55" s="69"/>
      <c r="G55" s="69"/>
      <c r="H55" s="69"/>
      <c r="I55" s="67"/>
      <c r="J55" s="67" t="s">
        <v>127</v>
      </c>
      <c r="K55" s="60"/>
      <c r="L55" s="67" t="s">
        <v>17</v>
      </c>
    </row>
    <row r="56" s="59" customFormat="1" ht="14.25" spans="1:12">
      <c r="A56" s="34"/>
      <c r="B56" s="34"/>
      <c r="C56" s="72">
        <v>5</v>
      </c>
      <c r="D56" s="73" t="s">
        <v>128</v>
      </c>
      <c r="E56" s="69"/>
      <c r="F56" s="69"/>
      <c r="G56" s="69"/>
      <c r="H56" s="69"/>
      <c r="I56" s="67"/>
      <c r="J56" s="67" t="s">
        <v>129</v>
      </c>
      <c r="K56" s="60"/>
      <c r="L56" s="67" t="s">
        <v>17</v>
      </c>
    </row>
    <row r="57" s="59" customFormat="1" ht="14.25" spans="1:12">
      <c r="A57" s="34"/>
      <c r="B57" s="34"/>
      <c r="C57" s="72">
        <v>6</v>
      </c>
      <c r="D57" s="73" t="s">
        <v>130</v>
      </c>
      <c r="E57" s="69"/>
      <c r="F57" s="69"/>
      <c r="G57" s="69"/>
      <c r="H57" s="69"/>
      <c r="I57" s="67"/>
      <c r="J57" s="67" t="s">
        <v>131</v>
      </c>
      <c r="K57" s="60"/>
      <c r="L57" s="67" t="s">
        <v>17</v>
      </c>
    </row>
    <row r="58" s="59" customFormat="1" ht="14.25" spans="1:12">
      <c r="A58" s="34"/>
      <c r="B58" s="34"/>
      <c r="C58" s="72">
        <v>7</v>
      </c>
      <c r="D58" s="73" t="s">
        <v>132</v>
      </c>
      <c r="E58" s="69"/>
      <c r="F58" s="69"/>
      <c r="G58" s="69"/>
      <c r="H58" s="69"/>
      <c r="I58" s="67"/>
      <c r="J58" s="67" t="s">
        <v>133</v>
      </c>
      <c r="K58" s="71" t="s">
        <v>30</v>
      </c>
      <c r="L58" s="67" t="s">
        <v>17</v>
      </c>
    </row>
    <row r="59" s="59" customFormat="1" ht="14.25" spans="1:12">
      <c r="A59" s="28"/>
      <c r="B59" s="28"/>
      <c r="C59" s="72">
        <v>8</v>
      </c>
      <c r="D59" s="73" t="s">
        <v>134</v>
      </c>
      <c r="E59" s="69"/>
      <c r="F59" s="69"/>
      <c r="G59" s="69"/>
      <c r="H59" s="69"/>
      <c r="I59" s="67"/>
      <c r="J59" s="67" t="s">
        <v>135</v>
      </c>
      <c r="K59" s="71" t="s">
        <v>30</v>
      </c>
      <c r="L59" s="74" t="s">
        <v>17</v>
      </c>
    </row>
    <row r="60" s="59" customFormat="1" ht="14.25" spans="1:12">
      <c r="A60" s="75" t="s">
        <v>136</v>
      </c>
      <c r="B60" s="67" t="s">
        <v>137</v>
      </c>
      <c r="C60" s="72">
        <v>1</v>
      </c>
      <c r="D60" s="68" t="s">
        <v>138</v>
      </c>
      <c r="E60" s="69"/>
      <c r="F60" s="69"/>
      <c r="G60" s="69"/>
      <c r="H60" s="69"/>
      <c r="I60" s="69"/>
      <c r="J60" s="67" t="s">
        <v>139</v>
      </c>
      <c r="K60" s="71"/>
      <c r="L60" s="67" t="s">
        <v>17</v>
      </c>
    </row>
    <row r="61" s="59" customFormat="1" ht="14.25" spans="1:12">
      <c r="A61" s="34"/>
      <c r="B61" s="34"/>
      <c r="C61" s="72">
        <v>2</v>
      </c>
      <c r="D61" s="69" t="s">
        <v>140</v>
      </c>
      <c r="E61" s="69"/>
      <c r="F61" s="69"/>
      <c r="G61" s="69"/>
      <c r="H61" s="69"/>
      <c r="I61" s="69"/>
      <c r="J61" s="67" t="s">
        <v>141</v>
      </c>
      <c r="K61" s="71"/>
      <c r="L61" s="67" t="s">
        <v>17</v>
      </c>
    </row>
    <row r="62" s="59" customFormat="1" ht="14.25" spans="1:12">
      <c r="A62" s="34"/>
      <c r="B62" s="34"/>
      <c r="C62" s="72">
        <v>3</v>
      </c>
      <c r="D62" s="68" t="s">
        <v>142</v>
      </c>
      <c r="E62" s="69"/>
      <c r="F62" s="69"/>
      <c r="G62" s="69"/>
      <c r="H62" s="69"/>
      <c r="I62" s="69"/>
      <c r="J62" s="67" t="s">
        <v>143</v>
      </c>
      <c r="K62" s="71"/>
      <c r="L62" s="67" t="s">
        <v>17</v>
      </c>
    </row>
    <row r="63" s="59" customFormat="1" ht="14.25" spans="1:12">
      <c r="A63" s="34"/>
      <c r="B63" s="34"/>
      <c r="C63" s="72">
        <v>4</v>
      </c>
      <c r="D63" s="68" t="s">
        <v>144</v>
      </c>
      <c r="E63" s="69"/>
      <c r="F63" s="69"/>
      <c r="G63" s="69"/>
      <c r="H63" s="69"/>
      <c r="I63" s="69"/>
      <c r="J63" s="67" t="s">
        <v>145</v>
      </c>
      <c r="K63" s="71"/>
      <c r="L63" s="67" t="s">
        <v>17</v>
      </c>
    </row>
    <row r="64" s="59" customFormat="1" ht="14.25" spans="1:12">
      <c r="A64" s="34"/>
      <c r="B64" s="34"/>
      <c r="C64" s="72">
        <v>5</v>
      </c>
      <c r="D64" s="69" t="s">
        <v>146</v>
      </c>
      <c r="E64" s="69"/>
      <c r="F64" s="69"/>
      <c r="G64" s="69"/>
      <c r="H64" s="69"/>
      <c r="I64" s="69"/>
      <c r="J64" s="67" t="s">
        <v>147</v>
      </c>
      <c r="K64" s="71"/>
      <c r="L64" s="67" t="s">
        <v>17</v>
      </c>
    </row>
    <row r="65" s="59" customFormat="1" ht="14.25" spans="1:12">
      <c r="A65" s="34"/>
      <c r="B65" s="34"/>
      <c r="C65" s="72">
        <v>6</v>
      </c>
      <c r="D65" s="69" t="s">
        <v>148</v>
      </c>
      <c r="E65" s="69"/>
      <c r="F65" s="69"/>
      <c r="G65" s="69"/>
      <c r="H65" s="69"/>
      <c r="I65" s="69"/>
      <c r="J65" s="67" t="s">
        <v>149</v>
      </c>
      <c r="K65" s="71"/>
      <c r="L65" s="67" t="s">
        <v>17</v>
      </c>
    </row>
    <row r="66" s="59" customFormat="1" ht="14.25" spans="1:12">
      <c r="A66" s="34"/>
      <c r="B66" s="34"/>
      <c r="C66" s="72">
        <v>7</v>
      </c>
      <c r="D66" s="69" t="s">
        <v>150</v>
      </c>
      <c r="E66" s="69"/>
      <c r="F66" s="69"/>
      <c r="G66" s="69"/>
      <c r="H66" s="69"/>
      <c r="I66" s="69"/>
      <c r="J66" s="67" t="s">
        <v>151</v>
      </c>
      <c r="K66" s="71" t="s">
        <v>30</v>
      </c>
      <c r="L66" s="67" t="s">
        <v>17</v>
      </c>
    </row>
    <row r="67" s="59" customFormat="1" ht="14.25" spans="1:12">
      <c r="A67" s="34"/>
      <c r="B67" s="28"/>
      <c r="C67" s="72">
        <v>8</v>
      </c>
      <c r="D67" s="68" t="s">
        <v>152</v>
      </c>
      <c r="E67" s="69"/>
      <c r="F67" s="69"/>
      <c r="G67" s="69"/>
      <c r="H67" s="69"/>
      <c r="I67" s="69"/>
      <c r="J67" s="67" t="s">
        <v>153</v>
      </c>
      <c r="K67" s="71" t="s">
        <v>30</v>
      </c>
      <c r="L67" s="67" t="s">
        <v>17</v>
      </c>
    </row>
    <row r="68" s="59" customFormat="1" ht="14.25" spans="1:12">
      <c r="A68" s="34"/>
      <c r="B68" s="74" t="s">
        <v>154</v>
      </c>
      <c r="C68" s="72">
        <v>1</v>
      </c>
      <c r="D68" s="68" t="s">
        <v>155</v>
      </c>
      <c r="E68" s="68"/>
      <c r="F68" s="69"/>
      <c r="G68" s="69"/>
      <c r="H68" s="69"/>
      <c r="I68" s="69"/>
      <c r="J68" s="67" t="s">
        <v>156</v>
      </c>
      <c r="K68" s="60"/>
      <c r="L68" s="67" t="s">
        <v>17</v>
      </c>
    </row>
    <row r="69" s="59" customFormat="1" ht="14.25" spans="1:12">
      <c r="A69" s="34"/>
      <c r="B69" s="34"/>
      <c r="C69" s="72">
        <v>2</v>
      </c>
      <c r="D69" s="68" t="s">
        <v>157</v>
      </c>
      <c r="E69" s="68"/>
      <c r="F69" s="69"/>
      <c r="G69" s="69"/>
      <c r="H69" s="69"/>
      <c r="I69" s="69"/>
      <c r="J69" s="67" t="s">
        <v>158</v>
      </c>
      <c r="K69" s="60"/>
      <c r="L69" s="67" t="s">
        <v>17</v>
      </c>
    </row>
    <row r="70" s="59" customFormat="1" ht="14.25" spans="1:12">
      <c r="A70" s="34"/>
      <c r="B70" s="34"/>
      <c r="C70" s="72">
        <v>3</v>
      </c>
      <c r="D70" s="68" t="s">
        <v>159</v>
      </c>
      <c r="E70" s="68"/>
      <c r="F70" s="69"/>
      <c r="G70" s="69"/>
      <c r="H70" s="69"/>
      <c r="I70" s="69"/>
      <c r="J70" s="67" t="s">
        <v>160</v>
      </c>
      <c r="K70" s="60"/>
      <c r="L70" s="67" t="s">
        <v>17</v>
      </c>
    </row>
    <row r="71" s="59" customFormat="1" ht="14.25" spans="1:12">
      <c r="A71" s="34"/>
      <c r="B71" s="34"/>
      <c r="C71" s="72">
        <v>4</v>
      </c>
      <c r="D71" s="68" t="s">
        <v>161</v>
      </c>
      <c r="E71" s="68"/>
      <c r="F71" s="69"/>
      <c r="G71" s="69"/>
      <c r="H71" s="69"/>
      <c r="I71" s="69"/>
      <c r="J71" s="67" t="s">
        <v>162</v>
      </c>
      <c r="K71" s="60"/>
      <c r="L71" s="67" t="s">
        <v>17</v>
      </c>
    </row>
    <row r="72" s="59" customFormat="1" ht="14.25" spans="1:12">
      <c r="A72" s="34"/>
      <c r="B72" s="34"/>
      <c r="C72" s="72">
        <v>5</v>
      </c>
      <c r="D72" s="68" t="s">
        <v>163</v>
      </c>
      <c r="E72" s="68"/>
      <c r="F72" s="69"/>
      <c r="G72" s="69"/>
      <c r="H72" s="69"/>
      <c r="I72" s="69"/>
      <c r="J72" s="67" t="s">
        <v>164</v>
      </c>
      <c r="K72" s="60"/>
      <c r="L72" s="67" t="s">
        <v>17</v>
      </c>
    </row>
    <row r="73" s="59" customFormat="1" ht="14.25" spans="1:12">
      <c r="A73" s="34"/>
      <c r="B73" s="34"/>
      <c r="C73" s="72">
        <v>6</v>
      </c>
      <c r="D73" s="68" t="s">
        <v>165</v>
      </c>
      <c r="E73" s="68"/>
      <c r="F73" s="69"/>
      <c r="G73" s="69"/>
      <c r="H73" s="69"/>
      <c r="I73" s="69"/>
      <c r="J73" s="67" t="s">
        <v>166</v>
      </c>
      <c r="K73" s="60"/>
      <c r="L73" s="67" t="s">
        <v>17</v>
      </c>
    </row>
    <row r="74" s="59" customFormat="1" ht="14.25" spans="1:12">
      <c r="A74" s="34"/>
      <c r="B74" s="34"/>
      <c r="C74" s="72">
        <v>7</v>
      </c>
      <c r="D74" s="68" t="s">
        <v>167</v>
      </c>
      <c r="E74" s="68"/>
      <c r="F74" s="69"/>
      <c r="G74" s="69"/>
      <c r="H74" s="69"/>
      <c r="I74" s="69"/>
      <c r="J74" s="67" t="s">
        <v>168</v>
      </c>
      <c r="K74" s="71" t="s">
        <v>30</v>
      </c>
      <c r="L74" s="67" t="s">
        <v>17</v>
      </c>
    </row>
    <row r="75" s="59" customFormat="1" ht="14.25" spans="1:12">
      <c r="A75" s="34"/>
      <c r="B75" s="34"/>
      <c r="C75" s="72">
        <v>8</v>
      </c>
      <c r="D75" s="68" t="s">
        <v>169</v>
      </c>
      <c r="E75" s="68"/>
      <c r="F75" s="69"/>
      <c r="G75" s="69"/>
      <c r="H75" s="69"/>
      <c r="I75" s="69"/>
      <c r="J75" s="67" t="s">
        <v>170</v>
      </c>
      <c r="K75" s="71" t="s">
        <v>30</v>
      </c>
      <c r="L75" s="67" t="s">
        <v>17</v>
      </c>
    </row>
    <row r="76" s="59" customFormat="1" ht="14.25" spans="1:12">
      <c r="A76" s="34"/>
      <c r="B76" s="67" t="s">
        <v>171</v>
      </c>
      <c r="C76" s="72">
        <v>1</v>
      </c>
      <c r="D76" s="70" t="s">
        <v>172</v>
      </c>
      <c r="E76" s="69"/>
      <c r="F76" s="69"/>
      <c r="G76" s="69"/>
      <c r="H76" s="69"/>
      <c r="I76" s="69"/>
      <c r="J76" s="67" t="s">
        <v>173</v>
      </c>
      <c r="K76" s="71"/>
      <c r="L76" s="67" t="s">
        <v>17</v>
      </c>
    </row>
    <row r="77" s="59" customFormat="1" ht="14.25" spans="1:12">
      <c r="A77" s="34"/>
      <c r="B77" s="34"/>
      <c r="C77" s="72">
        <v>2</v>
      </c>
      <c r="D77" s="68" t="s">
        <v>174</v>
      </c>
      <c r="E77" s="69"/>
      <c r="F77" s="69"/>
      <c r="G77" s="69"/>
      <c r="H77" s="69"/>
      <c r="I77" s="69"/>
      <c r="J77" s="67" t="s">
        <v>175</v>
      </c>
      <c r="K77" s="71"/>
      <c r="L77" s="67" t="s">
        <v>17</v>
      </c>
    </row>
    <row r="78" s="59" customFormat="1" ht="14.25" spans="1:12">
      <c r="A78" s="34"/>
      <c r="B78" s="34"/>
      <c r="C78" s="72">
        <v>3</v>
      </c>
      <c r="D78" s="70" t="s">
        <v>176</v>
      </c>
      <c r="E78" s="69"/>
      <c r="F78" s="69"/>
      <c r="G78" s="69"/>
      <c r="H78" s="69"/>
      <c r="I78" s="69"/>
      <c r="J78" s="67" t="s">
        <v>177</v>
      </c>
      <c r="K78" s="71"/>
      <c r="L78" s="67" t="s">
        <v>17</v>
      </c>
    </row>
    <row r="79" s="59" customFormat="1" ht="14.25" spans="1:12">
      <c r="A79" s="34"/>
      <c r="B79" s="34"/>
      <c r="C79" s="72">
        <v>4</v>
      </c>
      <c r="D79" s="70" t="s">
        <v>178</v>
      </c>
      <c r="E79" s="69"/>
      <c r="F79" s="69"/>
      <c r="G79" s="69"/>
      <c r="H79" s="69"/>
      <c r="I79" s="69"/>
      <c r="J79" s="67" t="s">
        <v>179</v>
      </c>
      <c r="K79" s="71"/>
      <c r="L79" s="67" t="s">
        <v>17</v>
      </c>
    </row>
    <row r="80" s="59" customFormat="1" ht="14.25" spans="1:12">
      <c r="A80" s="34"/>
      <c r="B80" s="34"/>
      <c r="C80" s="72">
        <v>5</v>
      </c>
      <c r="D80" s="70" t="s">
        <v>180</v>
      </c>
      <c r="E80" s="69"/>
      <c r="F80" s="69"/>
      <c r="G80" s="69"/>
      <c r="H80" s="69"/>
      <c r="I80" s="69"/>
      <c r="J80" s="67" t="s">
        <v>181</v>
      </c>
      <c r="K80" s="71"/>
      <c r="L80" s="67" t="s">
        <v>17</v>
      </c>
    </row>
    <row r="81" s="59" customFormat="1" ht="14.25" spans="1:12">
      <c r="A81" s="34"/>
      <c r="B81" s="34"/>
      <c r="C81" s="72">
        <v>6</v>
      </c>
      <c r="D81" s="68" t="s">
        <v>182</v>
      </c>
      <c r="E81" s="69"/>
      <c r="F81" s="69"/>
      <c r="G81" s="69"/>
      <c r="H81" s="69"/>
      <c r="I81" s="69"/>
      <c r="J81" s="67" t="s">
        <v>183</v>
      </c>
      <c r="K81" s="71"/>
      <c r="L81" s="67" t="s">
        <v>17</v>
      </c>
    </row>
    <row r="82" s="59" customFormat="1" ht="14.25" spans="1:12">
      <c r="A82" s="34"/>
      <c r="B82" s="34"/>
      <c r="C82" s="72">
        <v>7</v>
      </c>
      <c r="D82" s="70" t="s">
        <v>184</v>
      </c>
      <c r="E82" s="69"/>
      <c r="F82" s="69"/>
      <c r="G82" s="69"/>
      <c r="H82" s="69"/>
      <c r="I82" s="69"/>
      <c r="J82" s="67" t="s">
        <v>185</v>
      </c>
      <c r="K82" s="71" t="s">
        <v>30</v>
      </c>
      <c r="L82" s="67" t="s">
        <v>17</v>
      </c>
    </row>
    <row r="83" s="59" customFormat="1" ht="14.25" spans="1:12">
      <c r="A83" s="34"/>
      <c r="B83" s="28"/>
      <c r="C83" s="72">
        <v>8</v>
      </c>
      <c r="D83" s="70" t="s">
        <v>186</v>
      </c>
      <c r="E83" s="69"/>
      <c r="F83" s="69"/>
      <c r="G83" s="69"/>
      <c r="H83" s="69"/>
      <c r="I83" s="69"/>
      <c r="J83" s="67" t="s">
        <v>187</v>
      </c>
      <c r="K83" s="71" t="s">
        <v>30</v>
      </c>
      <c r="L83" s="67" t="s">
        <v>17</v>
      </c>
    </row>
    <row r="84" s="59" customFormat="1" ht="28.5" customHeight="1" spans="1:12">
      <c r="A84" s="76" t="s">
        <v>188</v>
      </c>
      <c r="B84" s="77" t="s">
        <v>14</v>
      </c>
      <c r="C84" s="67">
        <v>1</v>
      </c>
      <c r="D84" s="73" t="s">
        <v>189</v>
      </c>
      <c r="E84" s="73"/>
      <c r="F84" s="73"/>
      <c r="G84" s="73"/>
      <c r="H84" s="73"/>
      <c r="I84" s="78"/>
      <c r="J84" s="79" t="s">
        <v>190</v>
      </c>
      <c r="K84" s="80"/>
    </row>
    <row r="85" s="59" customFormat="1" ht="28.5" customHeight="1" spans="1:12">
      <c r="A85" s="76" t="s">
        <v>188</v>
      </c>
      <c r="B85" s="77" t="s">
        <v>33</v>
      </c>
      <c r="C85" s="67">
        <v>2</v>
      </c>
      <c r="D85" s="73" t="s">
        <v>191</v>
      </c>
      <c r="E85" s="73"/>
      <c r="F85" s="73"/>
      <c r="G85" s="73"/>
      <c r="H85" s="73"/>
      <c r="I85" s="78"/>
      <c r="J85" s="79" t="s">
        <v>192</v>
      </c>
      <c r="K85" s="80"/>
    </row>
    <row r="86" s="59" customFormat="1" ht="28.5" customHeight="1" spans="1:12">
      <c r="A86" s="76" t="s">
        <v>188</v>
      </c>
      <c r="B86" s="77" t="s">
        <v>50</v>
      </c>
      <c r="C86" s="67">
        <v>3</v>
      </c>
      <c r="D86" s="73" t="s">
        <v>193</v>
      </c>
      <c r="E86" s="73"/>
      <c r="F86" s="73"/>
      <c r="G86" s="73"/>
      <c r="H86" s="73"/>
      <c r="I86" s="78"/>
      <c r="J86" s="79" t="s">
        <v>194</v>
      </c>
      <c r="K86" s="80"/>
    </row>
    <row r="87" s="59" customFormat="1" ht="28.5" customHeight="1" spans="1:12">
      <c r="A87" s="76" t="s">
        <v>188</v>
      </c>
      <c r="B87" s="77" t="s">
        <v>67</v>
      </c>
      <c r="C87" s="67">
        <v>4</v>
      </c>
      <c r="D87" s="73" t="s">
        <v>195</v>
      </c>
      <c r="E87" s="73"/>
      <c r="F87" s="73"/>
      <c r="G87" s="73"/>
      <c r="H87" s="73"/>
      <c r="I87" s="78"/>
      <c r="J87" s="79" t="s">
        <v>196</v>
      </c>
      <c r="K87" s="80"/>
    </row>
    <row r="88" s="59" customFormat="1" ht="28.5" customHeight="1" spans="1:12">
      <c r="A88" s="76" t="s">
        <v>188</v>
      </c>
      <c r="B88" s="77" t="s">
        <v>84</v>
      </c>
      <c r="C88" s="67">
        <v>5</v>
      </c>
      <c r="D88" s="73" t="s">
        <v>197</v>
      </c>
      <c r="E88" s="73"/>
      <c r="F88" s="73"/>
      <c r="G88" s="73"/>
      <c r="H88" s="73"/>
      <c r="I88" s="78"/>
      <c r="J88" s="79" t="s">
        <v>198</v>
      </c>
      <c r="K88" s="80"/>
    </row>
    <row r="89" s="59" customFormat="1" ht="28.5" customHeight="1" spans="1:12">
      <c r="A89" s="76" t="s">
        <v>188</v>
      </c>
      <c r="B89" s="77" t="s">
        <v>102</v>
      </c>
      <c r="C89" s="67">
        <v>6</v>
      </c>
      <c r="D89" s="73" t="s">
        <v>199</v>
      </c>
      <c r="E89" s="73"/>
      <c r="F89" s="73"/>
      <c r="G89" s="73"/>
      <c r="H89" s="73"/>
      <c r="I89" s="78"/>
      <c r="J89" s="79" t="s">
        <v>200</v>
      </c>
      <c r="K89" s="80"/>
    </row>
    <row r="90" s="59" customFormat="1" ht="28.5" customHeight="1" spans="1:12">
      <c r="A90" s="76" t="s">
        <v>188</v>
      </c>
      <c r="B90" s="77" t="s">
        <v>119</v>
      </c>
      <c r="C90" s="67">
        <v>7</v>
      </c>
      <c r="D90" s="73" t="s">
        <v>201</v>
      </c>
      <c r="E90" s="73"/>
      <c r="F90" s="73"/>
      <c r="G90" s="73"/>
      <c r="H90" s="73"/>
      <c r="I90" s="78"/>
      <c r="J90" s="79" t="s">
        <v>202</v>
      </c>
      <c r="K90" s="80"/>
    </row>
    <row r="91" s="59" customFormat="1" ht="28.5" customHeight="1" spans="1:12">
      <c r="A91" s="76" t="s">
        <v>188</v>
      </c>
      <c r="B91" s="77" t="s">
        <v>137</v>
      </c>
      <c r="C91" s="67">
        <v>8</v>
      </c>
      <c r="D91" s="73" t="s">
        <v>203</v>
      </c>
      <c r="E91" s="73"/>
      <c r="F91" s="73"/>
      <c r="G91" s="73"/>
      <c r="H91" s="73"/>
      <c r="I91" s="78"/>
      <c r="J91" s="79" t="s">
        <v>204</v>
      </c>
      <c r="K91" s="80"/>
    </row>
    <row r="92" s="59" customFormat="1" ht="28.5" customHeight="1" spans="1:12">
      <c r="A92" s="76" t="s">
        <v>188</v>
      </c>
      <c r="B92" s="77" t="s">
        <v>154</v>
      </c>
      <c r="C92" s="67">
        <v>9</v>
      </c>
      <c r="D92" s="73" t="s">
        <v>205</v>
      </c>
      <c r="E92" s="73"/>
      <c r="F92" s="73"/>
      <c r="G92" s="73"/>
      <c r="H92" s="73"/>
      <c r="I92" s="78"/>
      <c r="J92" s="79" t="s">
        <v>206</v>
      </c>
      <c r="K92" s="80"/>
    </row>
    <row r="93" s="59" customFormat="1" ht="28.5" customHeight="1" spans="1:12">
      <c r="A93" s="76" t="s">
        <v>188</v>
      </c>
      <c r="B93" s="77" t="s">
        <v>171</v>
      </c>
      <c r="C93" s="67">
        <v>10</v>
      </c>
      <c r="D93" s="73" t="s">
        <v>207</v>
      </c>
      <c r="E93" s="73"/>
      <c r="F93" s="73"/>
      <c r="G93" s="73"/>
      <c r="H93" s="73"/>
      <c r="I93" s="78"/>
      <c r="J93" s="79" t="s">
        <v>208</v>
      </c>
      <c r="K93" s="80"/>
    </row>
  </sheetData>
  <mergeCells count="21">
    <mergeCell ref="A1:J1"/>
    <mergeCell ref="E2:I2"/>
    <mergeCell ref="A2:A3"/>
    <mergeCell ref="A4:A43"/>
    <mergeCell ref="A44:A59"/>
    <mergeCell ref="A60:A83"/>
    <mergeCell ref="B2:B3"/>
    <mergeCell ref="B4:B11"/>
    <mergeCell ref="B12:B19"/>
    <mergeCell ref="B20:B27"/>
    <mergeCell ref="B28:B35"/>
    <mergeCell ref="B36:B43"/>
    <mergeCell ref="B44:B51"/>
    <mergeCell ref="B52:B59"/>
    <mergeCell ref="B60:B67"/>
    <mergeCell ref="B68:B75"/>
    <mergeCell ref="B76:B83"/>
    <mergeCell ref="C2:C3"/>
    <mergeCell ref="D2:D3"/>
    <mergeCell ref="J2:J3"/>
    <mergeCell ref="L2:L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zoomScale="90" zoomScaleNormal="90" topLeftCell="G1" workbookViewId="0">
      <selection activeCell="J8" sqref="J8"/>
    </sheetView>
  </sheetViews>
  <sheetFormatPr defaultColWidth="9" defaultRowHeight="14.25"/>
  <cols>
    <col min="1" max="1" width="6.13333333333333" style="39" customWidth="1"/>
    <col min="2" max="2" width="4.875" style="40" customWidth="1"/>
    <col min="3" max="3" width="9.68333333333333" style="40" customWidth="1"/>
    <col min="4" max="4" width="12.875" style="41" customWidth="1"/>
    <col min="5" max="5" width="22.1583333333333" style="41" customWidth="1"/>
    <col min="6" max="12" width="31.25" style="41" customWidth="1"/>
    <col min="13" max="13" width="31.25" style="42" customWidth="1"/>
    <col min="14" max="14" width="31.25" style="41" customWidth="1"/>
    <col min="15" max="15" width="27.3333333333333" style="23" customWidth="1"/>
  </cols>
  <sheetData>
    <row r="1" ht="66" customHeight="1" spans="1:15">
      <c r="A1" s="43" t="s">
        <v>209</v>
      </c>
      <c r="B1" s="43"/>
      <c r="C1" s="43"/>
      <c r="D1" s="43"/>
      <c r="E1" s="43"/>
      <c r="F1" s="43"/>
      <c r="G1" s="43"/>
      <c r="H1" s="43"/>
      <c r="I1" s="43"/>
      <c r="J1" s="43"/>
      <c r="K1" s="43"/>
      <c r="L1" s="43"/>
      <c r="M1" s="43"/>
      <c r="N1" s="43"/>
      <c r="O1" s="43"/>
    </row>
    <row r="2" ht="25.5" customHeight="1" spans="1:15">
      <c r="A2" s="44" t="s">
        <v>210</v>
      </c>
      <c r="B2" s="45"/>
      <c r="C2" s="45"/>
      <c r="D2" s="45"/>
      <c r="E2" s="45"/>
      <c r="F2" s="45"/>
      <c r="G2" s="45"/>
      <c r="H2" s="45"/>
      <c r="I2" s="45"/>
      <c r="J2" s="45"/>
      <c r="K2" s="45"/>
      <c r="L2" s="45"/>
      <c r="M2" s="45"/>
      <c r="N2" s="45"/>
      <c r="O2" s="45"/>
    </row>
    <row r="3" spans="1:15">
      <c r="A3" s="13" t="s">
        <v>1</v>
      </c>
      <c r="B3" s="13" t="s">
        <v>211</v>
      </c>
      <c r="C3" s="13" t="s">
        <v>212</v>
      </c>
      <c r="D3" s="13" t="s">
        <v>213</v>
      </c>
      <c r="E3" s="13" t="s">
        <v>214</v>
      </c>
      <c r="F3" s="46" t="s">
        <v>215</v>
      </c>
      <c r="G3" s="47"/>
      <c r="H3" s="47"/>
      <c r="I3" s="47"/>
      <c r="J3" s="47"/>
      <c r="K3" s="47"/>
      <c r="L3" s="47"/>
      <c r="M3" s="47"/>
      <c r="N3" s="47"/>
      <c r="O3" s="47"/>
    </row>
    <row r="4" ht="28.5" customHeight="1" spans="1:15">
      <c r="A4" s="28"/>
      <c r="B4" s="28"/>
      <c r="C4" s="28"/>
      <c r="D4" s="28"/>
      <c r="E4" s="28"/>
      <c r="F4" s="48" t="s">
        <v>216</v>
      </c>
      <c r="G4" s="48" t="s">
        <v>217</v>
      </c>
      <c r="H4" s="48" t="s">
        <v>218</v>
      </c>
      <c r="I4" s="48" t="s">
        <v>217</v>
      </c>
      <c r="J4" s="48" t="s">
        <v>219</v>
      </c>
      <c r="K4" s="48" t="s">
        <v>217</v>
      </c>
      <c r="L4" s="48" t="s">
        <v>220</v>
      </c>
      <c r="M4" s="48" t="s">
        <v>221</v>
      </c>
      <c r="N4" s="48" t="s">
        <v>222</v>
      </c>
      <c r="O4" s="48" t="s">
        <v>221</v>
      </c>
    </row>
    <row r="5" ht="142.5" customHeight="1" spans="1:15">
      <c r="A5" s="49"/>
      <c r="B5" s="13">
        <v>1</v>
      </c>
      <c r="C5" s="13" t="s">
        <v>14</v>
      </c>
      <c r="D5" s="50" t="s">
        <v>223</v>
      </c>
      <c r="E5" s="50" t="s">
        <v>224</v>
      </c>
      <c r="F5" s="50" t="s">
        <v>225</v>
      </c>
      <c r="G5" s="50" t="s">
        <v>226</v>
      </c>
      <c r="H5" s="50" t="s">
        <v>227</v>
      </c>
      <c r="I5" s="50" t="s">
        <v>228</v>
      </c>
      <c r="J5" s="50" t="s">
        <v>229</v>
      </c>
      <c r="K5" s="50" t="s">
        <v>230</v>
      </c>
      <c r="L5" s="50" t="s">
        <v>231</v>
      </c>
      <c r="M5" s="15" t="s">
        <v>232</v>
      </c>
      <c r="N5" s="50" t="s">
        <v>233</v>
      </c>
      <c r="O5" s="50" t="s">
        <v>234</v>
      </c>
    </row>
    <row r="6" ht="142.5" customHeight="1" spans="1:15">
      <c r="A6" s="49"/>
      <c r="B6" s="13">
        <v>2</v>
      </c>
      <c r="C6" s="13" t="s">
        <v>33</v>
      </c>
      <c r="D6" s="50" t="s">
        <v>235</v>
      </c>
      <c r="E6" s="50" t="s">
        <v>236</v>
      </c>
      <c r="F6" s="50" t="s">
        <v>237</v>
      </c>
      <c r="G6" s="50" t="s">
        <v>238</v>
      </c>
      <c r="H6" s="50" t="s">
        <v>239</v>
      </c>
      <c r="I6" s="50" t="s">
        <v>240</v>
      </c>
      <c r="J6" s="50" t="s">
        <v>241</v>
      </c>
      <c r="K6" s="50" t="s">
        <v>242</v>
      </c>
      <c r="L6" s="50" t="s">
        <v>243</v>
      </c>
      <c r="M6" s="15" t="s">
        <v>244</v>
      </c>
      <c r="N6" s="51" t="s">
        <v>245</v>
      </c>
      <c r="O6" s="50" t="s">
        <v>246</v>
      </c>
    </row>
    <row r="7" ht="142.5" customHeight="1" spans="1:15">
      <c r="A7" s="49"/>
      <c r="B7" s="13">
        <v>3</v>
      </c>
      <c r="C7" s="13" t="s">
        <v>50</v>
      </c>
      <c r="D7" s="50" t="s">
        <v>247</v>
      </c>
      <c r="E7" s="50" t="s">
        <v>248</v>
      </c>
      <c r="F7" s="50" t="s">
        <v>249</v>
      </c>
      <c r="G7" s="50" t="s">
        <v>250</v>
      </c>
      <c r="H7" s="50" t="s">
        <v>251</v>
      </c>
      <c r="I7" s="50" t="s">
        <v>252</v>
      </c>
      <c r="J7" s="50" t="s">
        <v>253</v>
      </c>
      <c r="K7" s="52" t="s">
        <v>254</v>
      </c>
      <c r="L7" s="50" t="s">
        <v>255</v>
      </c>
      <c r="M7" s="52" t="s">
        <v>256</v>
      </c>
      <c r="N7" s="50" t="s">
        <v>257</v>
      </c>
      <c r="O7" s="50" t="s">
        <v>258</v>
      </c>
    </row>
    <row r="8" ht="142.5" customHeight="1" spans="1:15">
      <c r="A8" s="13"/>
      <c r="B8" s="13">
        <v>4</v>
      </c>
      <c r="C8" s="13" t="s">
        <v>67</v>
      </c>
      <c r="D8" s="50" t="s">
        <v>259</v>
      </c>
      <c r="E8" s="50" t="s">
        <v>260</v>
      </c>
      <c r="F8" s="50" t="s">
        <v>261</v>
      </c>
      <c r="G8" s="50" t="s">
        <v>262</v>
      </c>
      <c r="H8" s="50" t="s">
        <v>263</v>
      </c>
      <c r="I8" s="50" t="s">
        <v>264</v>
      </c>
      <c r="J8" s="50" t="s">
        <v>265</v>
      </c>
      <c r="K8" s="53" t="s">
        <v>266</v>
      </c>
      <c r="L8" s="50" t="s">
        <v>267</v>
      </c>
      <c r="M8" s="15" t="s">
        <v>268</v>
      </c>
      <c r="N8" s="54" t="s">
        <v>269</v>
      </c>
      <c r="O8" s="50" t="s">
        <v>270</v>
      </c>
    </row>
    <row r="9" ht="171" customHeight="1" spans="1:15">
      <c r="A9" s="49"/>
      <c r="B9" s="13">
        <v>5</v>
      </c>
      <c r="C9" s="13" t="s">
        <v>84</v>
      </c>
      <c r="D9" s="50" t="s">
        <v>271</v>
      </c>
      <c r="E9" s="50" t="s">
        <v>272</v>
      </c>
      <c r="F9" s="50" t="s">
        <v>273</v>
      </c>
      <c r="G9" s="50" t="s">
        <v>274</v>
      </c>
      <c r="H9" s="50" t="s">
        <v>275</v>
      </c>
      <c r="I9" s="50" t="s">
        <v>276</v>
      </c>
      <c r="J9" s="50" t="s">
        <v>277</v>
      </c>
      <c r="K9" s="50" t="s">
        <v>278</v>
      </c>
      <c r="L9" s="50" t="s">
        <v>279</v>
      </c>
      <c r="M9" s="15" t="s">
        <v>280</v>
      </c>
      <c r="N9" s="50" t="s">
        <v>281</v>
      </c>
      <c r="O9" s="50" t="s">
        <v>282</v>
      </c>
    </row>
    <row r="10" ht="142.5" customHeight="1" spans="1:15">
      <c r="A10" s="55"/>
      <c r="B10" s="13">
        <v>6</v>
      </c>
      <c r="C10" s="13" t="s">
        <v>102</v>
      </c>
      <c r="D10" s="50" t="s">
        <v>283</v>
      </c>
      <c r="E10" s="50" t="s">
        <v>284</v>
      </c>
      <c r="F10" s="51" t="s">
        <v>285</v>
      </c>
      <c r="G10" s="51" t="s">
        <v>286</v>
      </c>
      <c r="H10" s="50" t="s">
        <v>287</v>
      </c>
      <c r="I10" s="50" t="s">
        <v>288</v>
      </c>
      <c r="J10" s="51" t="s">
        <v>289</v>
      </c>
      <c r="K10" s="51" t="s">
        <v>290</v>
      </c>
      <c r="L10" s="50" t="s">
        <v>291</v>
      </c>
      <c r="M10" s="15" t="s">
        <v>292</v>
      </c>
      <c r="N10" s="51" t="s">
        <v>293</v>
      </c>
      <c r="O10" s="50" t="s">
        <v>294</v>
      </c>
    </row>
    <row r="11" ht="185.25" customHeight="1" spans="1:15">
      <c r="A11" s="56"/>
      <c r="B11" s="13">
        <v>7</v>
      </c>
      <c r="C11" s="13" t="s">
        <v>119</v>
      </c>
      <c r="D11" s="50" t="s">
        <v>295</v>
      </c>
      <c r="E11" s="50" t="s">
        <v>296</v>
      </c>
      <c r="F11" s="50" t="s">
        <v>297</v>
      </c>
      <c r="G11" s="50" t="s">
        <v>298</v>
      </c>
      <c r="H11" s="50" t="s">
        <v>299</v>
      </c>
      <c r="I11" s="50" t="s">
        <v>300</v>
      </c>
      <c r="J11" s="50" t="s">
        <v>301</v>
      </c>
      <c r="K11" s="50" t="s">
        <v>302</v>
      </c>
      <c r="L11" s="50" t="s">
        <v>303</v>
      </c>
      <c r="M11" s="15" t="s">
        <v>304</v>
      </c>
      <c r="N11" s="54" t="s">
        <v>305</v>
      </c>
      <c r="O11" s="50" t="s">
        <v>306</v>
      </c>
    </row>
    <row r="12" ht="142.5" customHeight="1" spans="1:15">
      <c r="A12" s="56"/>
      <c r="B12" s="13">
        <v>8</v>
      </c>
      <c r="C12" s="13" t="s">
        <v>137</v>
      </c>
      <c r="D12" s="50" t="s">
        <v>307</v>
      </c>
      <c r="E12" s="50" t="s">
        <v>308</v>
      </c>
      <c r="F12" s="50" t="s">
        <v>309</v>
      </c>
      <c r="G12" s="50" t="s">
        <v>310</v>
      </c>
      <c r="H12" s="50" t="s">
        <v>311</v>
      </c>
      <c r="I12" s="50" t="s">
        <v>312</v>
      </c>
      <c r="J12" s="50" t="s">
        <v>313</v>
      </c>
      <c r="K12" s="50" t="s">
        <v>314</v>
      </c>
      <c r="L12" s="51" t="s">
        <v>315</v>
      </c>
      <c r="M12" s="52" t="s">
        <v>316</v>
      </c>
      <c r="N12" s="51" t="s">
        <v>317</v>
      </c>
      <c r="O12" s="50" t="s">
        <v>318</v>
      </c>
    </row>
    <row r="13" ht="156.75" customHeight="1" spans="1:15">
      <c r="A13" s="56"/>
      <c r="B13" s="13">
        <v>9</v>
      </c>
      <c r="C13" s="13" t="s">
        <v>154</v>
      </c>
      <c r="D13" s="50" t="s">
        <v>319</v>
      </c>
      <c r="E13" s="50" t="s">
        <v>320</v>
      </c>
      <c r="F13" s="51" t="s">
        <v>321</v>
      </c>
      <c r="G13" s="51" t="s">
        <v>322</v>
      </c>
      <c r="H13" s="51" t="s">
        <v>323</v>
      </c>
      <c r="I13" s="51" t="s">
        <v>324</v>
      </c>
      <c r="J13" s="51" t="s">
        <v>325</v>
      </c>
      <c r="K13" s="51" t="s">
        <v>326</v>
      </c>
      <c r="L13" s="50" t="s">
        <v>327</v>
      </c>
      <c r="M13" s="57" t="s">
        <v>328</v>
      </c>
      <c r="N13" s="51" t="s">
        <v>329</v>
      </c>
      <c r="O13" s="50" t="s">
        <v>330</v>
      </c>
    </row>
    <row r="14" ht="128.25" customHeight="1" spans="1:15">
      <c r="A14" s="48"/>
      <c r="B14" s="13">
        <v>10</v>
      </c>
      <c r="C14" s="13" t="s">
        <v>171</v>
      </c>
      <c r="D14" s="50" t="s">
        <v>331</v>
      </c>
      <c r="E14" s="50" t="s">
        <v>332</v>
      </c>
      <c r="F14" s="50" t="s">
        <v>333</v>
      </c>
      <c r="G14" s="50" t="s">
        <v>334</v>
      </c>
      <c r="H14" s="50" t="s">
        <v>335</v>
      </c>
      <c r="I14" s="50" t="s">
        <v>336</v>
      </c>
      <c r="J14" s="50" t="s">
        <v>337</v>
      </c>
      <c r="K14" s="50" t="s">
        <v>338</v>
      </c>
      <c r="L14" s="50" t="s">
        <v>339</v>
      </c>
      <c r="M14" s="15" t="s">
        <v>340</v>
      </c>
      <c r="N14" s="51" t="s">
        <v>341</v>
      </c>
      <c r="O14" s="50" t="s">
        <v>342</v>
      </c>
    </row>
    <row r="15" spans="1:15">
      <c r="E15" s="58"/>
    </row>
  </sheetData>
  <mergeCells count="8">
    <mergeCell ref="A1:O1"/>
    <mergeCell ref="A2:O2"/>
    <mergeCell ref="F3:O3"/>
    <mergeCell ref="A3:A4"/>
    <mergeCell ref="B3:B4"/>
    <mergeCell ref="C3:C4"/>
    <mergeCell ref="D3:D4"/>
    <mergeCell ref="E3:E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F18"/>
  <sheetViews>
    <sheetView workbookViewId="0">
      <selection activeCell="F6" sqref="F6:F10"/>
    </sheetView>
  </sheetViews>
  <sheetFormatPr defaultColWidth="9" defaultRowHeight="13.5" outlineLevelCol="5"/>
  <cols>
    <col min="3" max="3" width="12.875" customWidth="1"/>
    <col min="5" max="5" width="9" style="6"/>
    <col min="6" max="6" width="25.875" style="11" customWidth="1"/>
  </cols>
  <sheetData>
    <row r="2" spans="3:6">
      <c r="C2" s="6"/>
      <c r="D2" s="6"/>
      <c r="E2" s="6"/>
      <c r="F2" s="6"/>
    </row>
    <row r="4" spans="3:6">
      <c r="C4" s="25" t="s">
        <v>343</v>
      </c>
      <c r="D4" s="25" t="s">
        <v>344</v>
      </c>
      <c r="E4" s="26" t="s">
        <v>345</v>
      </c>
      <c r="F4" s="27" t="s">
        <v>346</v>
      </c>
    </row>
    <row r="5" spans="3:6">
      <c r="C5" s="28"/>
      <c r="D5" s="28"/>
      <c r="E5" s="29"/>
      <c r="F5" s="27" t="s">
        <v>347</v>
      </c>
    </row>
    <row r="6" spans="3:6">
      <c r="C6" s="30" t="s">
        <v>13</v>
      </c>
      <c r="D6" s="31" t="s">
        <v>348</v>
      </c>
      <c r="E6" s="32">
        <v>58</v>
      </c>
      <c r="F6" s="33" t="s">
        <v>349</v>
      </c>
    </row>
    <row r="7" spans="3:6">
      <c r="C7" s="34"/>
      <c r="D7" s="31" t="s">
        <v>350</v>
      </c>
      <c r="E7" s="35"/>
      <c r="F7" s="34"/>
    </row>
    <row r="8" spans="3:6">
      <c r="C8" s="34"/>
      <c r="D8" s="31" t="s">
        <v>351</v>
      </c>
      <c r="E8" s="35"/>
      <c r="F8" s="34"/>
    </row>
    <row r="9" spans="3:6">
      <c r="C9" s="34"/>
      <c r="D9" s="31" t="s">
        <v>352</v>
      </c>
      <c r="E9" s="35"/>
      <c r="F9" s="34"/>
    </row>
    <row r="10" spans="3:6">
      <c r="C10" s="28"/>
      <c r="D10" s="31" t="s">
        <v>353</v>
      </c>
      <c r="E10" s="36"/>
      <c r="F10" s="28"/>
    </row>
    <row r="11" ht="32" customHeight="1" spans="3:6">
      <c r="C11" s="30" t="s">
        <v>101</v>
      </c>
      <c r="D11" s="31" t="s">
        <v>354</v>
      </c>
      <c r="E11" s="32">
        <v>53.75</v>
      </c>
      <c r="F11" s="33" t="s">
        <v>355</v>
      </c>
    </row>
    <row r="12" ht="46" customHeight="1" spans="3:6">
      <c r="C12" s="28"/>
      <c r="D12" s="31" t="s">
        <v>356</v>
      </c>
      <c r="E12" s="36"/>
      <c r="F12" s="28"/>
    </row>
    <row r="13" ht="30" customHeight="1" spans="3:6">
      <c r="C13" s="30" t="s">
        <v>136</v>
      </c>
      <c r="D13" s="31" t="s">
        <v>357</v>
      </c>
      <c r="E13" s="32">
        <v>60</v>
      </c>
      <c r="F13" s="33" t="s">
        <v>358</v>
      </c>
    </row>
    <row r="14" ht="30" customHeight="1" spans="3:6">
      <c r="C14" s="34"/>
      <c r="D14" s="31" t="s">
        <v>359</v>
      </c>
      <c r="E14" s="35"/>
      <c r="F14" s="34"/>
    </row>
    <row r="15" ht="30" customHeight="1" spans="3:6">
      <c r="C15" s="28"/>
      <c r="D15" s="31" t="s">
        <v>360</v>
      </c>
      <c r="E15" s="36"/>
      <c r="F15" s="28"/>
    </row>
    <row r="16" spans="3:6">
      <c r="C16" s="37"/>
      <c r="D16" s="37"/>
      <c r="E16" s="38"/>
      <c r="F16"/>
    </row>
    <row r="18" ht="81" spans="3:4">
      <c r="C18" s="23" t="s">
        <v>361</v>
      </c>
      <c r="D18" s="24" t="s">
        <v>362</v>
      </c>
    </row>
  </sheetData>
  <mergeCells count="13">
    <mergeCell ref="C2:F2"/>
    <mergeCell ref="C4:C5"/>
    <mergeCell ref="C6:C10"/>
    <mergeCell ref="C11:C12"/>
    <mergeCell ref="C13:C15"/>
    <mergeCell ref="D4:D5"/>
    <mergeCell ref="E4:E5"/>
    <mergeCell ref="E6:E10"/>
    <mergeCell ref="E11:E12"/>
    <mergeCell ref="E13:E15"/>
    <mergeCell ref="F6:F10"/>
    <mergeCell ref="F11:F12"/>
    <mergeCell ref="F13:F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workbookViewId="0">
      <selection activeCell="B19" sqref="B19"/>
    </sheetView>
  </sheetViews>
  <sheetFormatPr defaultColWidth="9" defaultRowHeight="13.5" outlineLevelCol="3"/>
  <cols>
    <col min="1" max="1" width="13.375" style="11" customWidth="1"/>
    <col min="2" max="2" width="24.125" style="11" customWidth="1"/>
    <col min="3" max="3" width="67.625" style="11" customWidth="1"/>
    <col min="4" max="4" width="54.125" style="11" customWidth="1"/>
  </cols>
  <sheetData>
    <row r="1" ht="25.5" customHeight="1" spans="1:4">
      <c r="A1" s="12" t="s">
        <v>363</v>
      </c>
    </row>
    <row r="2" ht="28.5" customHeight="1" spans="1:4">
      <c r="A2" s="13" t="s">
        <v>364</v>
      </c>
      <c r="B2" s="13" t="s">
        <v>365</v>
      </c>
      <c r="C2" s="13" t="s">
        <v>215</v>
      </c>
      <c r="D2" s="13" t="s">
        <v>366</v>
      </c>
    </row>
    <row r="3" ht="57" customHeight="1" spans="1:4">
      <c r="A3" s="13" t="s">
        <v>367</v>
      </c>
      <c r="B3" s="14" t="s">
        <v>368</v>
      </c>
      <c r="C3" s="15" t="s">
        <v>369</v>
      </c>
      <c r="D3" s="16" t="s">
        <v>370</v>
      </c>
    </row>
    <row r="4" ht="54" customHeight="1" spans="1:4">
      <c r="A4" s="13" t="s">
        <v>371</v>
      </c>
      <c r="B4" s="14" t="s">
        <v>372</v>
      </c>
      <c r="C4" s="15" t="s">
        <v>373</v>
      </c>
      <c r="D4" s="16" t="s">
        <v>374</v>
      </c>
    </row>
    <row r="5" ht="57" customHeight="1" spans="1:4">
      <c r="A5" s="13" t="s">
        <v>375</v>
      </c>
      <c r="B5" s="14" t="s">
        <v>376</v>
      </c>
      <c r="C5" s="15" t="s">
        <v>377</v>
      </c>
      <c r="D5" s="16" t="s">
        <v>378</v>
      </c>
    </row>
    <row r="6" ht="71.25" customHeight="1" spans="1:4">
      <c r="A6" s="13" t="s">
        <v>379</v>
      </c>
      <c r="B6" s="14" t="s">
        <v>380</v>
      </c>
      <c r="C6" s="15" t="s">
        <v>381</v>
      </c>
      <c r="D6" s="16" t="s">
        <v>382</v>
      </c>
    </row>
    <row r="7" ht="54" customHeight="1" spans="1:4">
      <c r="A7" s="13" t="s">
        <v>383</v>
      </c>
      <c r="B7" s="14" t="s">
        <v>384</v>
      </c>
      <c r="C7" s="15" t="s">
        <v>385</v>
      </c>
      <c r="D7" s="16" t="s">
        <v>386</v>
      </c>
    </row>
    <row r="9" ht="14.25" customHeight="1"/>
    <row r="10" ht="14.25" spans="1:4">
      <c r="C10" s="17" t="s">
        <v>387</v>
      </c>
    </row>
    <row r="11" ht="14.25" spans="1:4">
      <c r="A11" s="17" t="s">
        <v>364</v>
      </c>
      <c r="B11" s="18" t="s">
        <v>365</v>
      </c>
      <c r="C11" s="19"/>
    </row>
    <row r="12" ht="14.25" customHeight="1" spans="1:4">
      <c r="A12" s="20" t="s">
        <v>367</v>
      </c>
      <c r="B12" s="14" t="s">
        <v>368</v>
      </c>
      <c r="C12" s="21"/>
    </row>
    <row r="13" spans="1:4">
      <c r="A13" s="20" t="s">
        <v>371</v>
      </c>
      <c r="B13" s="14" t="s">
        <v>372</v>
      </c>
      <c r="C13" s="22" t="s">
        <v>388</v>
      </c>
    </row>
    <row r="14" spans="1:4">
      <c r="A14" s="20" t="s">
        <v>375</v>
      </c>
      <c r="B14" s="14" t="s">
        <v>376</v>
      </c>
      <c r="C14" s="22" t="s">
        <v>389</v>
      </c>
    </row>
    <row r="15" spans="1:4">
      <c r="A15" s="20" t="s">
        <v>379</v>
      </c>
      <c r="B15" s="14" t="s">
        <v>380</v>
      </c>
      <c r="C15" s="22" t="s">
        <v>390</v>
      </c>
    </row>
    <row r="16" spans="1:4">
      <c r="A16" s="20" t="s">
        <v>383</v>
      </c>
      <c r="B16" s="14" t="s">
        <v>384</v>
      </c>
      <c r="C16" s="22" t="s">
        <v>391</v>
      </c>
    </row>
    <row r="20" ht="17.25" spans="2:3">
      <c r="B20" s="23"/>
      <c r="C20" s="24"/>
    </row>
  </sheetData>
  <mergeCells count="2">
    <mergeCell ref="A1:C1"/>
    <mergeCell ref="C10:C1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H62"/>
  <sheetViews>
    <sheetView topLeftCell="A10" workbookViewId="0">
      <selection activeCell="F42" sqref="F42"/>
    </sheetView>
  </sheetViews>
  <sheetFormatPr defaultColWidth="9" defaultRowHeight="13.5" outlineLevelCol="7"/>
  <cols>
    <col min="3" max="3" width="11" customWidth="1"/>
    <col min="5" max="7" width="12.625"/>
  </cols>
  <sheetData>
    <row r="2" customFormat="1" spans="3:7">
      <c r="C2" s="1"/>
      <c r="D2" s="1"/>
      <c r="E2" s="1"/>
      <c r="F2" s="1"/>
      <c r="G2" s="1"/>
    </row>
    <row r="3" customFormat="1" spans="3:7">
      <c r="C3" s="2"/>
      <c r="D3" s="3"/>
      <c r="E3" s="4"/>
      <c r="F3" s="5"/>
      <c r="G3" s="5"/>
    </row>
    <row r="4" customFormat="1" spans="3:7">
      <c r="C4" s="2"/>
      <c r="D4" s="2"/>
      <c r="E4" s="4"/>
      <c r="F4" s="5"/>
      <c r="G4" s="5"/>
    </row>
    <row r="5" customFormat="1" spans="3:7">
      <c r="C5" s="2"/>
      <c r="D5" s="3"/>
      <c r="E5" s="4"/>
      <c r="F5" s="5"/>
      <c r="G5" s="5"/>
    </row>
    <row r="6" customFormat="1" spans="3:7">
      <c r="C6" s="2"/>
      <c r="D6" s="2"/>
      <c r="E6" s="4"/>
      <c r="F6" s="5"/>
      <c r="G6" s="5"/>
    </row>
    <row r="7" customFormat="1" spans="3:7">
      <c r="C7" s="2"/>
      <c r="D7" s="3"/>
      <c r="E7" s="4"/>
      <c r="F7" s="5"/>
      <c r="G7" s="5"/>
    </row>
    <row r="8" customFormat="1" spans="3:7">
      <c r="C8" s="2"/>
      <c r="D8" s="2"/>
      <c r="E8" s="4"/>
      <c r="F8" s="5"/>
      <c r="G8" s="5"/>
    </row>
    <row r="9" customFormat="1" spans="3:7">
      <c r="C9" s="2"/>
      <c r="D9" s="2"/>
      <c r="E9" s="4"/>
      <c r="F9" s="5"/>
      <c r="G9" s="5"/>
    </row>
    <row r="10" customFormat="1" spans="3:7">
      <c r="C10" s="2"/>
      <c r="D10" s="3"/>
      <c r="E10" s="4"/>
      <c r="F10" s="5"/>
      <c r="G10" s="5"/>
    </row>
    <row r="11" customFormat="1" spans="3:7">
      <c r="C11" s="2"/>
      <c r="D11" s="2"/>
      <c r="E11" s="4"/>
      <c r="F11" s="5"/>
      <c r="G11" s="5"/>
    </row>
    <row r="12" customFormat="1" spans="3:7">
      <c r="C12" s="2"/>
      <c r="D12" s="2"/>
      <c r="E12" s="4"/>
      <c r="F12" s="5"/>
      <c r="G12" s="5"/>
    </row>
    <row r="13" customFormat="1" spans="3:7">
      <c r="C13" s="1"/>
      <c r="D13" s="1"/>
      <c r="E13" s="1"/>
      <c r="F13" s="1"/>
      <c r="G13" s="1"/>
    </row>
    <row r="14" customFormat="1"/>
    <row r="15" customFormat="1"/>
    <row r="16" customFormat="1"/>
    <row r="17" customFormat="1" spans="3:8">
      <c r="F17" t="s">
        <v>392</v>
      </c>
      <c r="G17" t="s">
        <v>345</v>
      </c>
    </row>
    <row r="18" customFormat="1" spans="3:8">
      <c r="C18" s="6" t="s">
        <v>393</v>
      </c>
      <c r="D18" s="6">
        <v>67.5</v>
      </c>
      <c r="E18" s="7" t="s">
        <v>348</v>
      </c>
      <c r="F18" s="8">
        <v>68.75</v>
      </c>
      <c r="G18" s="8">
        <v>55</v>
      </c>
      <c r="H18" s="6">
        <v>58</v>
      </c>
    </row>
    <row r="19" customFormat="1" spans="3:8">
      <c r="C19" s="6"/>
      <c r="D19" s="6"/>
      <c r="E19" s="7" t="s">
        <v>350</v>
      </c>
      <c r="F19" s="8">
        <v>62.5</v>
      </c>
      <c r="G19" s="8">
        <v>65</v>
      </c>
      <c r="H19" s="6"/>
    </row>
    <row r="20" customFormat="1" spans="3:8">
      <c r="C20" s="6"/>
      <c r="D20" s="6"/>
      <c r="E20" s="7" t="s">
        <v>351</v>
      </c>
      <c r="F20" s="8">
        <v>81.25</v>
      </c>
      <c r="G20" s="8">
        <v>60</v>
      </c>
      <c r="H20" s="6"/>
    </row>
    <row r="21" customFormat="1" spans="3:8">
      <c r="C21" s="6"/>
      <c r="D21" s="6"/>
      <c r="E21" s="7" t="s">
        <v>352</v>
      </c>
      <c r="F21" s="8">
        <v>50</v>
      </c>
      <c r="G21" s="8">
        <v>55</v>
      </c>
      <c r="H21" s="6"/>
    </row>
    <row r="22" customFormat="1" spans="3:8">
      <c r="C22" s="6"/>
      <c r="D22" s="6"/>
      <c r="E22" s="7" t="s">
        <v>353</v>
      </c>
      <c r="F22" s="8">
        <v>75</v>
      </c>
      <c r="G22" s="8">
        <v>55</v>
      </c>
      <c r="H22" s="6"/>
    </row>
    <row r="23" customFormat="1" spans="3:8">
      <c r="C23" s="6" t="s">
        <v>394</v>
      </c>
      <c r="D23" s="6">
        <v>59.38</v>
      </c>
      <c r="E23" s="7" t="s">
        <v>354</v>
      </c>
      <c r="F23" s="8">
        <v>56.25</v>
      </c>
      <c r="G23" s="8">
        <v>52.5</v>
      </c>
      <c r="H23" s="6">
        <v>53.75</v>
      </c>
    </row>
    <row r="24" customFormat="1" spans="3:8">
      <c r="C24" s="6"/>
      <c r="D24" s="6"/>
      <c r="E24" s="7" t="s">
        <v>356</v>
      </c>
      <c r="F24" s="8">
        <v>62.5</v>
      </c>
      <c r="G24" s="8">
        <v>55</v>
      </c>
      <c r="H24" s="6"/>
    </row>
    <row r="25" customFormat="1" spans="3:8">
      <c r="C25" s="6" t="s">
        <v>395</v>
      </c>
      <c r="D25" s="6">
        <v>75.08</v>
      </c>
      <c r="E25" s="7" t="s">
        <v>357</v>
      </c>
      <c r="F25" s="8">
        <v>78.25</v>
      </c>
      <c r="G25" s="8">
        <v>57.5</v>
      </c>
      <c r="H25" s="6">
        <v>60</v>
      </c>
    </row>
    <row r="26" customFormat="1" spans="3:8">
      <c r="C26" s="6"/>
      <c r="D26" s="6"/>
      <c r="E26" s="7" t="s">
        <v>359</v>
      </c>
      <c r="F26" s="8">
        <v>78.25</v>
      </c>
      <c r="G26" s="8">
        <v>62.5</v>
      </c>
      <c r="H26" s="6"/>
    </row>
    <row r="27" customFormat="1" spans="3:8">
      <c r="C27" s="6"/>
      <c r="D27" s="6"/>
      <c r="E27" s="7" t="s">
        <v>360</v>
      </c>
      <c r="F27" s="8">
        <v>68.75</v>
      </c>
      <c r="G27" s="8">
        <v>60</v>
      </c>
      <c r="H27" s="6"/>
    </row>
    <row r="28" customFormat="1" spans="3:8">
      <c r="F28">
        <v>68.15</v>
      </c>
      <c r="G28">
        <v>57.75</v>
      </c>
    </row>
    <row r="29" customFormat="1"/>
    <row r="30" customFormat="1"/>
    <row r="31" customFormat="1"/>
    <row r="32" customFormat="1" spans="3:8">
      <c r="E32" t="s">
        <v>396</v>
      </c>
    </row>
    <row r="33" customFormat="1" spans="5:6">
      <c r="E33">
        <v>68.15</v>
      </c>
      <c r="F33">
        <f>100-E33</f>
        <v>31.85</v>
      </c>
    </row>
    <row r="50" spans="3:7">
      <c r="D50" t="s">
        <v>392</v>
      </c>
      <c r="E50" s="9" t="s">
        <v>397</v>
      </c>
      <c r="F50" t="s">
        <v>345</v>
      </c>
      <c r="G50" s="9"/>
    </row>
    <row r="51" spans="3:7">
      <c r="C51" s="7" t="s">
        <v>348</v>
      </c>
      <c r="D51" s="8">
        <v>68.75</v>
      </c>
      <c r="E51" s="10">
        <f t="shared" ref="E51:E60" si="0">100-D51</f>
        <v>31.25</v>
      </c>
      <c r="F51" s="8">
        <v>55</v>
      </c>
      <c r="G51" s="9"/>
    </row>
    <row r="52" spans="3:7">
      <c r="C52" s="7" t="s">
        <v>350</v>
      </c>
      <c r="D52" s="8">
        <v>62.5</v>
      </c>
      <c r="E52" s="10">
        <f t="shared" si="0"/>
        <v>37.5</v>
      </c>
      <c r="F52" s="8">
        <v>65</v>
      </c>
      <c r="G52" s="9"/>
    </row>
    <row r="53" spans="3:7">
      <c r="C53" s="7" t="s">
        <v>351</v>
      </c>
      <c r="D53" s="8">
        <v>81.25</v>
      </c>
      <c r="E53" s="10">
        <f t="shared" si="0"/>
        <v>18.75</v>
      </c>
      <c r="F53" s="8">
        <v>60</v>
      </c>
      <c r="G53" s="9"/>
    </row>
    <row r="54" spans="3:7">
      <c r="C54" s="7" t="s">
        <v>352</v>
      </c>
      <c r="D54" s="8">
        <v>50</v>
      </c>
      <c r="E54" s="10">
        <f t="shared" si="0"/>
        <v>50</v>
      </c>
      <c r="F54" s="8">
        <v>55</v>
      </c>
      <c r="G54" s="9"/>
    </row>
    <row r="55" spans="3:7">
      <c r="C55" s="7" t="s">
        <v>353</v>
      </c>
      <c r="D55" s="8">
        <v>75</v>
      </c>
      <c r="E55" s="10">
        <f t="shared" si="0"/>
        <v>25</v>
      </c>
      <c r="F55" s="8">
        <v>55</v>
      </c>
      <c r="G55" s="9"/>
    </row>
    <row r="56" spans="3:7">
      <c r="C56" s="7" t="s">
        <v>354</v>
      </c>
      <c r="D56" s="8">
        <v>56.25</v>
      </c>
      <c r="E56" s="10">
        <f t="shared" si="0"/>
        <v>43.75</v>
      </c>
      <c r="F56" s="8">
        <v>52.5</v>
      </c>
      <c r="G56" s="9"/>
    </row>
    <row r="57" spans="3:7">
      <c r="C57" s="7" t="s">
        <v>356</v>
      </c>
      <c r="D57" s="8">
        <v>62.5</v>
      </c>
      <c r="E57" s="10">
        <f t="shared" si="0"/>
        <v>37.5</v>
      </c>
      <c r="F57" s="8">
        <v>55</v>
      </c>
      <c r="G57" s="9"/>
    </row>
    <row r="58" spans="3:7">
      <c r="C58" s="7" t="s">
        <v>357</v>
      </c>
      <c r="D58" s="8">
        <v>78.25</v>
      </c>
      <c r="E58" s="10">
        <f t="shared" si="0"/>
        <v>21.75</v>
      </c>
      <c r="F58" s="8">
        <v>57.5</v>
      </c>
      <c r="G58" s="9"/>
    </row>
    <row r="59" spans="3:7">
      <c r="C59" s="7" t="s">
        <v>359</v>
      </c>
      <c r="D59" s="8">
        <v>78.25</v>
      </c>
      <c r="E59" s="10">
        <f t="shared" si="0"/>
        <v>21.75</v>
      </c>
      <c r="F59" s="8">
        <v>62.5</v>
      </c>
      <c r="G59" s="9"/>
    </row>
    <row r="60" spans="3:7">
      <c r="C60" s="7" t="s">
        <v>360</v>
      </c>
      <c r="D60" s="8">
        <v>68.75</v>
      </c>
      <c r="E60" s="10">
        <f t="shared" si="0"/>
        <v>31.25</v>
      </c>
      <c r="F60" s="8">
        <v>60</v>
      </c>
      <c r="G60" s="9"/>
    </row>
    <row r="61" spans="3:7">
      <c r="C61" s="9"/>
      <c r="D61" s="9"/>
      <c r="E61" s="9"/>
      <c r="F61" s="9"/>
      <c r="G61" s="9"/>
    </row>
    <row r="62" spans="3:7">
      <c r="C62" s="9"/>
      <c r="D62" s="9"/>
      <c r="E62" s="9"/>
      <c r="F62" s="9"/>
      <c r="G62" s="9"/>
    </row>
  </sheetData>
  <mergeCells count="17">
    <mergeCell ref="C3:C4"/>
    <mergeCell ref="C5:C6"/>
    <mergeCell ref="C7:C9"/>
    <mergeCell ref="C10:C12"/>
    <mergeCell ref="C18:C22"/>
    <mergeCell ref="C23:C24"/>
    <mergeCell ref="C25:C27"/>
    <mergeCell ref="D3:D4"/>
    <mergeCell ref="D5:D6"/>
    <mergeCell ref="D7:D9"/>
    <mergeCell ref="D10:D12"/>
    <mergeCell ref="D18:D22"/>
    <mergeCell ref="D23:D24"/>
    <mergeCell ref="D25:D27"/>
    <mergeCell ref="H18:H22"/>
    <mergeCell ref="H23:H24"/>
    <mergeCell ref="H25:H27"/>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题本</vt:lpstr>
      <vt:lpstr>等级评价</vt:lpstr>
      <vt:lpstr>三类模块评价</vt:lpstr>
      <vt:lpstr>总体评价</vt:lpstr>
      <vt:lpstr>图表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张瑞玲</cp:lastModifiedBy>
  <dcterms:created xsi:type="dcterms:W3CDTF">2023-05-12T11:15:00Z</dcterms:created>
  <dcterms:modified xsi:type="dcterms:W3CDTF">2026-09-18T11:05:43Z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2052-12.1.0.28792</vt:lpwstr>
  </property>
  <property fmtid="{D5CDD505-2E9C-101B-9397-08002B2CF9AE}" pid="3" name="ICV">
    <vt:lpwstr>E3187082E8CA4CAE9159BBF24A72BBBD_13</vt:lpwstr>
  </property>
  <property fmtid="{D5CDD505-2E9C-101B-9397-08002B2CF9AE}" pid="4" name="CalculationRule">
    <vt:i4>0</vt:i4>
  </property>
</Properties>
</file>